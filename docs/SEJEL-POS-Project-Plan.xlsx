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newpos\docs\"/>
    </mc:Choice>
  </mc:AlternateContent>
  <xr:revisionPtr revIDLastSave="0" documentId="13_ncr:1_{2E4C0DE5-0203-4E81-862D-6ADAF28EB200}" xr6:coauthVersionLast="47" xr6:coauthVersionMax="47" xr10:uidLastSave="{00000000-0000-0000-0000-000000000000}"/>
  <bookViews>
    <workbookView xWindow="-25770" yWindow="-3585" windowWidth="19380" windowHeight="11175" xr2:uid="{00000000-000D-0000-FFFF-FFFF00000000}"/>
  </bookViews>
  <sheets>
    <sheet name="Project Plan" sheetId="1" r:id="rId1"/>
    <sheet name="Summary" sheetId="2" r:id="rId2"/>
    <sheet name="Timeline" sheetId="3" r:id="rId3"/>
    <sheet name="Assum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2" i="3" l="1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B27" i="2"/>
  <c r="B26" i="2"/>
  <c r="C19" i="2"/>
  <c r="D19" i="2" s="1"/>
  <c r="B19" i="2"/>
  <c r="C18" i="2"/>
  <c r="D18" i="2" s="1"/>
  <c r="B18" i="2"/>
  <c r="C17" i="2"/>
  <c r="D17" i="2" s="1"/>
  <c r="B17" i="2"/>
  <c r="C16" i="2"/>
  <c r="D16" i="2" s="1"/>
  <c r="B16" i="2"/>
  <c r="C15" i="2"/>
  <c r="D15" i="2" s="1"/>
  <c r="B15" i="2"/>
  <c r="C14" i="2"/>
  <c r="D14" i="2" s="1"/>
  <c r="B14" i="2"/>
  <c r="C13" i="2"/>
  <c r="D13" i="2" s="1"/>
  <c r="B13" i="2"/>
  <c r="C8" i="2"/>
  <c r="B8" i="2"/>
  <c r="C7" i="2"/>
  <c r="B7" i="2"/>
  <c r="C6" i="2"/>
  <c r="B6" i="2"/>
  <c r="B9" i="2" s="1"/>
  <c r="G45" i="1"/>
  <c r="K45" i="1" s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C9" i="2" l="1"/>
  <c r="D7" i="2" s="1"/>
  <c r="D6" i="2" l="1"/>
  <c r="D8" i="2"/>
  <c r="D9" i="2" l="1"/>
</calcChain>
</file>

<file path=xl/sharedStrings.xml><?xml version="1.0" encoding="utf-8"?>
<sst xmlns="http://schemas.openxmlformats.org/spreadsheetml/2006/main" count="321" uniqueCount="198">
  <si>
    <t>SEJEL Restaurant — Point of Sale</t>
  </si>
  <si>
    <t>Project plan · delivered scope and remaining scope</t>
  </si>
  <si>
    <t>Branch: Olaya · Prepared 12 Aug 2026 · Dates for delivered work are the actual commit dates. Dates for remaining work are ESTIMATES (blue), on a Sunday–Thursday working week.</t>
  </si>
  <si>
    <t>ID</t>
  </si>
  <si>
    <t>Phase</t>
  </si>
  <si>
    <t>Workstream</t>
  </si>
  <si>
    <t>Scope / deliverable</t>
  </si>
  <si>
    <t>Status</t>
  </si>
  <si>
    <t>Owner</t>
  </si>
  <si>
    <t>Effort (working days)</t>
  </si>
  <si>
    <t>Start</t>
  </si>
  <si>
    <t>Finish</t>
  </si>
  <si>
    <t>Calendar days</t>
  </si>
  <si>
    <t>% complete</t>
  </si>
  <si>
    <t>Evidence / notes</t>
  </si>
  <si>
    <t>Foundations</t>
  </si>
  <si>
    <t>Architecture &amp; repository</t>
  </si>
  <si>
    <t>Flutter till, FastAPI backend, ZATCA library, PixelPoint migration — one repo, four parts</t>
  </si>
  <si>
    <t>Done</t>
  </si>
  <si>
    <t>Development</t>
  </si>
  <si>
    <t>commit 6cdfe13</t>
  </si>
  <si>
    <t>ZATCA signing on the device</t>
  </si>
  <si>
    <t>Dart signer pinned byte-for-byte to the Python reference via golden vectors</t>
  </si>
  <si>
    <t>commit 86c4bc1</t>
  </si>
  <si>
    <t>Printer Setup</t>
  </si>
  <si>
    <t>Device setup screen: printer address, port, test slip through the real ESC/POS builder</t>
  </si>
  <si>
    <t>commits b2c8370, 69c4df3</t>
  </si>
  <si>
    <t>Windows desktop target</t>
  </si>
  <si>
    <t>The till runs as a Windows application</t>
  </si>
  <si>
    <t>commit eb84074</t>
  </si>
  <si>
    <t>Till Setup / device enrolment</t>
  </si>
  <si>
    <t>Enrolment codes, device identity, roles (till / KDS / CDS), remembered sale type</t>
  </si>
  <si>
    <t>commits c86abb0, f10021c</t>
  </si>
  <si>
    <t>Back office foundation</t>
  </si>
  <si>
    <t>Sign-in, dashboard, price editing, device enrolment</t>
  </si>
  <si>
    <t>commit c86abb0</t>
  </si>
  <si>
    <t>Real catalog migration</t>
  </si>
  <si>
    <t>560 products, 42 screens, 11 sale types loaded from the customer's PixelPoint data</t>
  </si>
  <si>
    <t>commit cd551a3</t>
  </si>
  <si>
    <t>Catalog &amp; menu</t>
  </si>
  <si>
    <t>Order numbers</t>
  </si>
  <si>
    <t>Reserved in blocks from the backend so two tills never call the same number</t>
  </si>
  <si>
    <t>commit b3e47b0</t>
  </si>
  <si>
    <t>Tablet schema migrations</t>
  </si>
  <si>
    <t>An installed till survives an app update instead of failing on a missing column</t>
  </si>
  <si>
    <t>commit 7fccf52</t>
  </si>
  <si>
    <t>Product master</t>
  </si>
  <si>
    <t>Products, prices across 10 tiers, kitchen routing, report category, till button look</t>
  </si>
  <si>
    <t>commits a5a43ac, 8a94a27</t>
  </si>
  <si>
    <t>Menu layout editor</t>
  </si>
  <si>
    <t>Pages, the menu grid a till lands on, drag-free placement of buttons</t>
  </si>
  <si>
    <t>commits c2d002c, 7b7fe66, 14340f2</t>
  </si>
  <si>
    <t>Modifiers on the till</t>
  </si>
  <si>
    <t>Meal-deal prompts asked before an item can be rung; choices reach the bill and the kitchen</t>
  </si>
  <si>
    <t>commits 8b29bbf, a6fc72d</t>
  </si>
  <si>
    <t>Button pictures</t>
  </si>
  <si>
    <t>Crop-and-upload in the back office, image + name + price on one till tile</t>
  </si>
  <si>
    <t>commit 839e6a0</t>
  </si>
  <si>
    <t>Payments &amp; service</t>
  </si>
  <si>
    <t>Payment Mode on the till</t>
  </si>
  <si>
    <t>One bill across several tenders, cash change, split payment</t>
  </si>
  <si>
    <t>commit e4033df</t>
  </si>
  <si>
    <t>Dine-in: floor and checks</t>
  </si>
  <si>
    <t>Floor plan, seating, save the check, send rounds to the kitchen</t>
  </si>
  <si>
    <t>commits d96348a, c65dd61</t>
  </si>
  <si>
    <t>Tables pushed together</t>
  </si>
  <si>
    <t>Two twos make a four: one party, one order, one bill</t>
  </si>
  <si>
    <t>commit a3a7af9</t>
  </si>
  <si>
    <t>Floor areas</t>
  </si>
  <si>
    <t>A restaurant is not one room: areas, closing an area, tidy grid alignment</t>
  </si>
  <si>
    <t>commits 7180d42, 5e535b0, ecdfaca</t>
  </si>
  <si>
    <t>Split the check between guests</t>
  </si>
  <si>
    <t>Each guest's share is its own sale and its own tax invoice; table closes when nothing is owed</t>
  </si>
  <si>
    <t>commit a0bb72b</t>
  </si>
  <si>
    <t>Table master</t>
  </si>
  <si>
    <t>Tables are set up, then called onto a plan — the split the menu already had</t>
  </si>
  <si>
    <t>commit 224f1b0</t>
  </si>
  <si>
    <t>Branding on till and receipt</t>
  </si>
  <si>
    <t>Seller and branch read from the device, not compiled in</t>
  </si>
  <si>
    <t>commit e700690</t>
  </si>
  <si>
    <t>Receipt on screen</t>
  </si>
  <si>
    <t>The same bytes the printer gets, decoded back, with a scannable ZATCA QR</t>
  </si>
  <si>
    <t>commit 69c4df3</t>
  </si>
  <si>
    <t>Setup modules</t>
  </si>
  <si>
    <t>Employee Setup</t>
  </si>
  <si>
    <t>Staff sync to the till and the cashier picker are live.</t>
  </si>
  <si>
    <t>In progress</t>
  </si>
  <si>
    <t>Staff sync to the till and the cashier picker are live. Pending: staff master in the back office, PIN set and reset, roles. Migrated staff arrive with must_set_pin and no hash.</t>
  </si>
  <si>
    <t>Security Setup</t>
  </si>
  <si>
    <t>Back-office sign-in, roles and tenant isolation are live.</t>
  </si>
  <si>
    <t>Back-office sign-in, roles and tenant isolation are live. Pending: PIN enforcement on the till, manager override for voids and discounts, an audit trail of who did what.</t>
  </si>
  <si>
    <t>Payment Mode Setup</t>
  </si>
  <si>
    <t>Methods sync from the catalog and work on the till (cash, change, drawer, multi-tender).</t>
  </si>
  <si>
    <t>Methods sync from the catalog and work on the till (cash, change, drawer, multi-tender). Pending: a back-office editor to add, rename, reorder or retire one.</t>
  </si>
  <si>
    <t>Sales Type Setup</t>
  </si>
  <si>
    <t>Types drive price tier, table service and the aggregator reference, all live.</t>
  </si>
  <si>
    <t>Types drive price tier, table service and the aggregator reference, all live. Pending: an editor — today a new delivery partner needs a database change.</t>
  </si>
  <si>
    <t>Modifiers Setup</t>
  </si>
  <si>
    <t>The till asks them and products are assigned them in the product master.</t>
  </si>
  <si>
    <t>The till asks them and products are assigned them in the product master. Pending: authoring — creating a modifier group and its choices without touching the database.</t>
  </si>
  <si>
    <t>Report Category Setup</t>
  </si>
  <si>
    <t>Categories exist, are assigned on products and filter the master.</t>
  </si>
  <si>
    <t>Categories exist, are assigned on products and filter the master. Pending: create, rename and merge; they are what every sales report groups by.</t>
  </si>
  <si>
    <t>Discount Setup</t>
  </si>
  <si>
    <t>New.</t>
  </si>
  <si>
    <t>Not started</t>
  </si>
  <si>
    <t>New. Discount master, line and bill level, percentage and amount, who may apply one, and how it is shown on a ZATCA invoice. Depends on Security for the override.</t>
  </si>
  <si>
    <t>Customer Setup</t>
  </si>
  <si>
    <t>New. Customer master, phone lookup at the till, delivery addresses, and the VAT number a B2B customer needs on a standard tax invoice.</t>
  </si>
  <si>
    <t>Kiosk Setup</t>
  </si>
  <si>
    <t>New. A fourth device role: self-order, self-pay, its own menu presentation and its own order-number stream.</t>
  </si>
  <si>
    <t>Devices</t>
  </si>
  <si>
    <t>KDS Setup</t>
  </si>
  <si>
    <t>The kitchen display runs, takes tickets, bumps and recalls.</t>
  </si>
  <si>
    <t>The kitchen display runs, takes tickets, bumps and recalls. Pending: back-office station configuration — today a station is created by the migration.</t>
  </si>
  <si>
    <t>CDS Setup</t>
  </si>
  <si>
    <t>The customer display runs and follows the till.</t>
  </si>
  <si>
    <t>The customer display runs and follows the till. Pending: pairing and configuration in the back office, and what it shows between orders.</t>
  </si>
  <si>
    <t>Reporting</t>
  </si>
  <si>
    <t>Reports</t>
  </si>
  <si>
    <t>A dashboard and a sales list exist.</t>
  </si>
  <si>
    <t>A dashboard and a sales list exist. Pending: X and Z readings, sales by category, by hour and by cashier, VAT summary, and export.</t>
  </si>
  <si>
    <t>Compliance &amp; release</t>
  </si>
  <si>
    <t>ZATCA onboarding (phase 2)</t>
  </si>
  <si>
    <t>Signing, the hash chain and the QR are built and tested.</t>
  </si>
  <si>
    <t>Signing, the hash chain and the QR are built and tested. Pending: real CSID onboarding through the Fatoora portal, encrypted key storage, and the sandbox run.</t>
  </si>
  <si>
    <t>Arabic on receipts</t>
  </si>
  <si>
    <t>Printer codepage and right-to-left shaping.</t>
  </si>
  <si>
    <t>Printer codepage and right-to-left shaping. A go-live blocker for a Saudi customer.</t>
  </si>
  <si>
    <t>Android build</t>
  </si>
  <si>
    <t>Tablets are the primary target and no APK can be produced yet: the Android SDK is not installed on the build machine..</t>
  </si>
  <si>
    <t>Tablets are the primary target and no APK can be produced yet: the Android SDK is not installed on the build machine.</t>
  </si>
  <si>
    <t>Single-instance guard</t>
  </si>
  <si>
    <t>Two copies of the till open the same database.</t>
  </si>
  <si>
    <t>Two copies of the till open the same database. It has corrupted a device database once and produced two conflicting tills twice.</t>
  </si>
  <si>
    <t>Zero-priced products review</t>
  </si>
  <si>
    <t>68 products carry no price on the paying tier and cannot be sold.</t>
  </si>
  <si>
    <t>68 products carry no price on the paying tier and cannot be sold. Needs the customer to decide each one before go-live.</t>
  </si>
  <si>
    <t>TOTAL</t>
  </si>
  <si>
    <t>Weighted by effort, so a large workstream counts for more than a small one.</t>
  </si>
  <si>
    <t>Summary</t>
  </si>
  <si>
    <t>Every figure here is a formula over the Project Plan sheet.</t>
  </si>
  <si>
    <t>By status</t>
  </si>
  <si>
    <t>Workstreams</t>
  </si>
  <si>
    <t>Effort (days)</t>
  </si>
  <si>
    <t>Share of effort</t>
  </si>
  <si>
    <t>By phase</t>
  </si>
  <si>
    <t>Milestones</t>
  </si>
  <si>
    <t>Milestone</t>
  </si>
  <si>
    <t>Date</t>
  </si>
  <si>
    <t>Basis</t>
  </si>
  <si>
    <t>Project start</t>
  </si>
  <si>
    <t>First commit</t>
  </si>
  <si>
    <t>Till selling on the real catalog</t>
  </si>
  <si>
    <t>560 products, real prices, kitchen routing</t>
  </si>
  <si>
    <t>Dine-in complete</t>
  </si>
  <si>
    <t>Floor, checks, merged tables, split bills</t>
  </si>
  <si>
    <t>Setup modules complete</t>
  </si>
  <si>
    <t>End of the Setup modules phase — estimate</t>
  </si>
  <si>
    <t>Reporting complete</t>
  </si>
  <si>
    <t>End of the Reporting phase — estimate</t>
  </si>
  <si>
    <t>Ready for go-live</t>
  </si>
  <si>
    <t>After compliance and release work — ESTIMATE, and gated by ZATCA onboarding which needs the customer's Fatoora credentials</t>
  </si>
  <si>
    <t>Timeline</t>
  </si>
  <si>
    <t>One column per week. A bar is drawn by formula from the Start and Finish on the Project Plan sheet, so editing a date there redraws the bar here.</t>
  </si>
  <si>
    <t>02 Aug</t>
  </si>
  <si>
    <t>09 Aug</t>
  </si>
  <si>
    <t>16 Aug</t>
  </si>
  <si>
    <t>23 Aug</t>
  </si>
  <si>
    <t>30 Aug</t>
  </si>
  <si>
    <t>06 Sep</t>
  </si>
  <si>
    <t>13 Sep</t>
  </si>
  <si>
    <t>20 Sep</t>
  </si>
  <si>
    <t>27 Sep</t>
  </si>
  <si>
    <t>04 Oct</t>
  </si>
  <si>
    <t>11 Oct</t>
  </si>
  <si>
    <t>18 Oct</t>
  </si>
  <si>
    <t>25 Oct</t>
  </si>
  <si>
    <t>01 Nov</t>
  </si>
  <si>
    <t>Assumptions, and how to read this plan</t>
  </si>
  <si>
    <t>Where the delivered dates come from</t>
  </si>
  <si>
    <t>The commit history of the repository, 4–12 August 2026. They are what happened, not estimates. Each delivered row names its commit in the Evidence column.</t>
  </si>
  <si>
    <t>Where the remaining dates come from</t>
  </si>
  <si>
    <t>Estimates, shown in blue everywhere they appear. They are the author's sizing of the remaining work, sequenced one item after another, and they are the least reliable numbers in this workbook.</t>
  </si>
  <si>
    <t>Working week</t>
  </si>
  <si>
    <t>Sunday to Thursday. Friday and Saturday are treated as the weekend. Public holidays are NOT deducted — add them and the finish dates move out.</t>
  </si>
  <si>
    <t>Team size</t>
  </si>
  <si>
    <t>One developer, working serially. Reports and Kiosk Setup share no dependencies with the setup modules, so a second developer could run them in parallel and pull the go-live date in by roughly three weeks.</t>
  </si>
  <si>
    <t>What "In progress" means here</t>
  </si>
  <si>
    <t>Part of the workstream is already live and part is not. The % complete column says how much, and the Notes column says exactly which part is missing. Six of the fourteen items on the client's list are in this state — none of them is starting from nothing.</t>
  </si>
  <si>
    <t>What is NOT in the estimates</t>
  </si>
  <si>
    <t>User acceptance testing, staff training, data cleansing beyond the 68 zero-priced products, hardware procurement, and on-site installation.</t>
  </si>
  <si>
    <t>The dependency that is not ours</t>
  </si>
  <si>
    <t>ZATCA phase-2 onboarding needs the customer's Fatoora portal credentials. Until those exist the till signs with a placeholder certificate, and no amount of development moves that date.</t>
  </si>
  <si>
    <t>Additional items beyond the client's list</t>
  </si>
  <si>
    <t>Arabic receipts, the Android build, the single-instance guard, ZATCA onboarding and the zero-priced product review are included because go-live depends on them. They were not on the list supplied.</t>
  </si>
  <si>
    <t>Effort vs duration</t>
  </si>
  <si>
    <t>Effort is working days of development. Calendar days on the plan sheet is the span from start to finish including weekends, and is a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</si>
</sst>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0.0%"/>
    <numFmt numFmtId="166" formatCode="dd\-mmm"/>
  </numFmts>
  <fonts count="14">
    <font>
      <sz val="11"/>
      <color theme="1"/>
      <name val="Calibri"/>
      <family val="2"/>
      <scheme val="minor"/>
    </font>
    <font>
      <b/>
      <sz val="16"/>
      <color rgb="FF6D28D9"/>
      <name val="Arial"/>
    </font>
    <font>
      <sz val="11"/>
      <color rgb="FF5F5A6B"/>
      <name val="Arial"/>
    </font>
    <font>
      <i/>
      <sz val="9"/>
      <color rgb="FF5F5A6B"/>
      <name val="Arial"/>
    </font>
    <font>
      <b/>
      <sz val="10"/>
      <color rgb="FFFFFFFF"/>
      <name val="Arial"/>
    </font>
    <font>
      <sz val="10"/>
      <color rgb="FF1C1B1F"/>
      <name val="Arial"/>
    </font>
    <font>
      <sz val="10"/>
      <color rgb="FF0000FF"/>
      <name val="Arial"/>
    </font>
    <font>
      <b/>
      <sz val="10"/>
      <name val="Arial"/>
    </font>
    <font>
      <b/>
      <sz val="11"/>
      <color rgb="FF6D28D9"/>
      <name val="Arial"/>
    </font>
    <font>
      <sz val="8"/>
      <color rgb="FF9A95A6"/>
      <name val="Arial"/>
    </font>
    <font>
      <b/>
      <sz val="8"/>
      <color rgb="FFFFFFFF"/>
      <name val="Arial"/>
    </font>
    <font>
      <sz val="10"/>
      <color rgb="FF6D28D9"/>
      <name val="Arial"/>
    </font>
    <font>
      <b/>
      <sz val="10"/>
      <color rgb="FF6D28D9"/>
      <name val="Arial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E6F4EA"/>
      </patternFill>
    </fill>
    <fill>
      <patternFill patternType="solid">
        <fgColor rgb="FFFFF4E5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D8D5E0"/>
      </left>
      <right style="thin">
        <color rgb="FFD8D5E0"/>
      </right>
      <top style="thin">
        <color rgb="FFD8D5E0"/>
      </top>
      <bottom style="thin">
        <color rgb="FFD8D5E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9" fontId="6" fillId="0" borderId="1" xfId="0" applyNumberFormat="1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7" fillId="0" borderId="0" xfId="0" applyFont="1"/>
    <xf numFmtId="0" fontId="7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0" fillId="0" borderId="0" xfId="0" applyNumberFormat="1"/>
    <xf numFmtId="166" fontId="9" fillId="0" borderId="0" xfId="0" applyNumberFormat="1" applyFont="1" applyAlignment="1">
      <alignment horizontal="center"/>
    </xf>
    <xf numFmtId="0" fontId="4" fillId="2" borderId="1" xfId="0" applyFont="1" applyFill="1" applyBorder="1"/>
    <xf numFmtId="0" fontId="10" fillId="2" borderId="1" xfId="0" applyFont="1" applyFill="1" applyBorder="1" applyAlignment="1">
      <alignment horizontal="center" textRotation="90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0" xfId="0" applyFont="1"/>
    <xf numFmtId="0" fontId="5" fillId="0" borderId="0" xfId="0" applyFont="1" applyAlignment="1">
      <alignment vertical="top" wrapText="1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164" fontId="13" fillId="0" borderId="1" xfId="0" applyNumberFormat="1" applyFont="1" applyBorder="1" applyAlignment="1">
      <alignment horizontal="center" vertical="top"/>
    </xf>
    <xf numFmtId="9" fontId="1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80" zoomScaleNormal="80" workbookViewId="0">
      <pane ySplit="5" topLeftCell="A42" activePane="bottomLeft" state="frozen"/>
      <selection pane="bottomLeft" activeCell="E48" sqref="E48"/>
    </sheetView>
  </sheetViews>
  <sheetFormatPr defaultRowHeight="14.5"/>
  <cols>
    <col min="1" max="1" width="5" customWidth="1"/>
    <col min="2" max="2" width="20" customWidth="1"/>
    <col min="3" max="3" width="27" customWidth="1"/>
    <col min="4" max="4" width="52" customWidth="1"/>
    <col min="5" max="5" width="12" customWidth="1"/>
    <col min="6" max="6" width="13" customWidth="1"/>
    <col min="7" max="9" width="11" customWidth="1"/>
    <col min="10" max="10" width="10" customWidth="1"/>
    <col min="11" max="11" width="11" customWidth="1"/>
    <col min="12" max="12" width="66" customWidth="1"/>
  </cols>
  <sheetData>
    <row r="1" spans="1:12" ht="20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 ht="3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ht="25">
      <c r="A6" s="5">
        <v>1</v>
      </c>
      <c r="B6" s="5" t="s">
        <v>15</v>
      </c>
      <c r="C6" s="5" t="s">
        <v>16</v>
      </c>
      <c r="D6" s="6" t="s">
        <v>17</v>
      </c>
      <c r="E6" s="7" t="s">
        <v>18</v>
      </c>
      <c r="F6" s="5" t="s">
        <v>19</v>
      </c>
      <c r="G6" s="8">
        <v>1</v>
      </c>
      <c r="H6" s="9">
        <v>46238</v>
      </c>
      <c r="I6" s="9">
        <v>46238</v>
      </c>
      <c r="J6" s="8">
        <f t="shared" ref="J6:J43" si="0">I6-H6+1</f>
        <v>1</v>
      </c>
      <c r="K6" s="10">
        <v>1</v>
      </c>
      <c r="L6" s="6" t="s">
        <v>20</v>
      </c>
    </row>
    <row r="7" spans="1:12" ht="25">
      <c r="A7" s="5">
        <v>2</v>
      </c>
      <c r="B7" s="5" t="s">
        <v>15</v>
      </c>
      <c r="C7" s="5" t="s">
        <v>21</v>
      </c>
      <c r="D7" s="6" t="s">
        <v>22</v>
      </c>
      <c r="E7" s="7" t="s">
        <v>18</v>
      </c>
      <c r="F7" s="5" t="s">
        <v>19</v>
      </c>
      <c r="G7" s="8">
        <v>0.16</v>
      </c>
      <c r="H7" s="9">
        <v>46239</v>
      </c>
      <c r="I7" s="9">
        <v>46239</v>
      </c>
      <c r="J7" s="8">
        <f t="shared" si="0"/>
        <v>1</v>
      </c>
      <c r="K7" s="10">
        <v>1</v>
      </c>
      <c r="L7" s="6" t="s">
        <v>23</v>
      </c>
    </row>
    <row r="8" spans="1:12" ht="25">
      <c r="A8" s="5">
        <v>3</v>
      </c>
      <c r="B8" s="5" t="s">
        <v>15</v>
      </c>
      <c r="C8" s="5" t="s">
        <v>24</v>
      </c>
      <c r="D8" s="6" t="s">
        <v>25</v>
      </c>
      <c r="E8" s="7" t="s">
        <v>18</v>
      </c>
      <c r="F8" s="5" t="s">
        <v>19</v>
      </c>
      <c r="G8" s="8">
        <v>0.16</v>
      </c>
      <c r="H8" s="9">
        <v>46239</v>
      </c>
      <c r="I8" s="9">
        <v>46239</v>
      </c>
      <c r="J8" s="8">
        <f t="shared" si="0"/>
        <v>1</v>
      </c>
      <c r="K8" s="10">
        <v>1</v>
      </c>
      <c r="L8" s="6" t="s">
        <v>26</v>
      </c>
    </row>
    <row r="9" spans="1:12">
      <c r="A9" s="5">
        <v>4</v>
      </c>
      <c r="B9" s="5" t="s">
        <v>15</v>
      </c>
      <c r="C9" s="5" t="s">
        <v>27</v>
      </c>
      <c r="D9" s="6" t="s">
        <v>28</v>
      </c>
      <c r="E9" s="7" t="s">
        <v>18</v>
      </c>
      <c r="F9" s="5" t="s">
        <v>19</v>
      </c>
      <c r="G9" s="8">
        <v>0.16</v>
      </c>
      <c r="H9" s="9">
        <v>46239</v>
      </c>
      <c r="I9" s="9">
        <v>46239</v>
      </c>
      <c r="J9" s="8">
        <f t="shared" si="0"/>
        <v>1</v>
      </c>
      <c r="K9" s="10">
        <v>1</v>
      </c>
      <c r="L9" s="6" t="s">
        <v>29</v>
      </c>
    </row>
    <row r="10" spans="1:12" ht="25">
      <c r="A10" s="5">
        <v>5</v>
      </c>
      <c r="B10" s="5" t="s">
        <v>15</v>
      </c>
      <c r="C10" s="5" t="s">
        <v>30</v>
      </c>
      <c r="D10" s="6" t="s">
        <v>31</v>
      </c>
      <c r="E10" s="7" t="s">
        <v>18</v>
      </c>
      <c r="F10" s="5" t="s">
        <v>19</v>
      </c>
      <c r="G10" s="8">
        <v>0.16</v>
      </c>
      <c r="H10" s="9">
        <v>46239</v>
      </c>
      <c r="I10" s="9">
        <v>46239</v>
      </c>
      <c r="J10" s="8">
        <f t="shared" si="0"/>
        <v>1</v>
      </c>
      <c r="K10" s="10">
        <v>1</v>
      </c>
      <c r="L10" s="6" t="s">
        <v>32</v>
      </c>
    </row>
    <row r="11" spans="1:12">
      <c r="A11" s="5">
        <v>6</v>
      </c>
      <c r="B11" s="5" t="s">
        <v>15</v>
      </c>
      <c r="C11" s="5" t="s">
        <v>33</v>
      </c>
      <c r="D11" s="6" t="s">
        <v>34</v>
      </c>
      <c r="E11" s="7" t="s">
        <v>18</v>
      </c>
      <c r="F11" s="5" t="s">
        <v>19</v>
      </c>
      <c r="G11" s="8">
        <v>0.16</v>
      </c>
      <c r="H11" s="9">
        <v>46239</v>
      </c>
      <c r="I11" s="9">
        <v>46239</v>
      </c>
      <c r="J11" s="8">
        <f t="shared" si="0"/>
        <v>1</v>
      </c>
      <c r="K11" s="10">
        <v>1</v>
      </c>
      <c r="L11" s="6" t="s">
        <v>35</v>
      </c>
    </row>
    <row r="12" spans="1:12" ht="25">
      <c r="A12" s="5">
        <v>7</v>
      </c>
      <c r="B12" s="5" t="s">
        <v>15</v>
      </c>
      <c r="C12" s="5" t="s">
        <v>36</v>
      </c>
      <c r="D12" s="6" t="s">
        <v>37</v>
      </c>
      <c r="E12" s="7" t="s">
        <v>18</v>
      </c>
      <c r="F12" s="5" t="s">
        <v>19</v>
      </c>
      <c r="G12" s="8">
        <v>0.16</v>
      </c>
      <c r="H12" s="9">
        <v>46239</v>
      </c>
      <c r="I12" s="9">
        <v>46239</v>
      </c>
      <c r="J12" s="8">
        <f t="shared" si="0"/>
        <v>1</v>
      </c>
      <c r="K12" s="10">
        <v>1</v>
      </c>
      <c r="L12" s="6" t="s">
        <v>38</v>
      </c>
    </row>
    <row r="13" spans="1:12" ht="25">
      <c r="A13" s="5">
        <v>8</v>
      </c>
      <c r="B13" s="5" t="s">
        <v>39</v>
      </c>
      <c r="C13" s="5" t="s">
        <v>40</v>
      </c>
      <c r="D13" s="6" t="s">
        <v>41</v>
      </c>
      <c r="E13" s="7" t="s">
        <v>18</v>
      </c>
      <c r="F13" s="5" t="s">
        <v>19</v>
      </c>
      <c r="G13" s="8">
        <v>0.16</v>
      </c>
      <c r="H13" s="9">
        <v>46244</v>
      </c>
      <c r="I13" s="9">
        <v>46244</v>
      </c>
      <c r="J13" s="8">
        <f t="shared" si="0"/>
        <v>1</v>
      </c>
      <c r="K13" s="10">
        <v>1</v>
      </c>
      <c r="L13" s="6" t="s">
        <v>42</v>
      </c>
    </row>
    <row r="14" spans="1:12" ht="25">
      <c r="A14" s="5">
        <v>9</v>
      </c>
      <c r="B14" s="5" t="s">
        <v>39</v>
      </c>
      <c r="C14" s="5" t="s">
        <v>43</v>
      </c>
      <c r="D14" s="6" t="s">
        <v>44</v>
      </c>
      <c r="E14" s="7" t="s">
        <v>18</v>
      </c>
      <c r="F14" s="5" t="s">
        <v>19</v>
      </c>
      <c r="G14" s="8">
        <v>0.16</v>
      </c>
      <c r="H14" s="9">
        <v>46244</v>
      </c>
      <c r="I14" s="9">
        <v>46244</v>
      </c>
      <c r="J14" s="8">
        <f t="shared" si="0"/>
        <v>1</v>
      </c>
      <c r="K14" s="10">
        <v>1</v>
      </c>
      <c r="L14" s="6" t="s">
        <v>45</v>
      </c>
    </row>
    <row r="15" spans="1:12" ht="25">
      <c r="A15" s="5">
        <v>10</v>
      </c>
      <c r="B15" s="5" t="s">
        <v>39</v>
      </c>
      <c r="C15" s="5" t="s">
        <v>46</v>
      </c>
      <c r="D15" s="6" t="s">
        <v>47</v>
      </c>
      <c r="E15" s="7" t="s">
        <v>18</v>
      </c>
      <c r="F15" s="5" t="s">
        <v>19</v>
      </c>
      <c r="G15" s="8">
        <v>0.16</v>
      </c>
      <c r="H15" s="9">
        <v>46244</v>
      </c>
      <c r="I15" s="9">
        <v>46244</v>
      </c>
      <c r="J15" s="8">
        <f t="shared" si="0"/>
        <v>1</v>
      </c>
      <c r="K15" s="10">
        <v>1</v>
      </c>
      <c r="L15" s="6" t="s">
        <v>48</v>
      </c>
    </row>
    <row r="16" spans="1:12" ht="25">
      <c r="A16" s="5">
        <v>11</v>
      </c>
      <c r="B16" s="5" t="s">
        <v>39</v>
      </c>
      <c r="C16" s="5" t="s">
        <v>49</v>
      </c>
      <c r="D16" s="6" t="s">
        <v>50</v>
      </c>
      <c r="E16" s="7" t="s">
        <v>18</v>
      </c>
      <c r="F16" s="5" t="s">
        <v>19</v>
      </c>
      <c r="G16" s="8">
        <v>0.16</v>
      </c>
      <c r="H16" s="9">
        <v>46244</v>
      </c>
      <c r="I16" s="9">
        <v>46244</v>
      </c>
      <c r="J16" s="8">
        <f t="shared" si="0"/>
        <v>1</v>
      </c>
      <c r="K16" s="10">
        <v>1</v>
      </c>
      <c r="L16" s="6" t="s">
        <v>51</v>
      </c>
    </row>
    <row r="17" spans="1:12" ht="25">
      <c r="A17" s="5">
        <v>12</v>
      </c>
      <c r="B17" s="5" t="s">
        <v>39</v>
      </c>
      <c r="C17" s="5" t="s">
        <v>52</v>
      </c>
      <c r="D17" s="6" t="s">
        <v>53</v>
      </c>
      <c r="E17" s="7" t="s">
        <v>18</v>
      </c>
      <c r="F17" s="5" t="s">
        <v>19</v>
      </c>
      <c r="G17" s="8">
        <v>0.16</v>
      </c>
      <c r="H17" s="9">
        <v>46244</v>
      </c>
      <c r="I17" s="9">
        <v>46244</v>
      </c>
      <c r="J17" s="8">
        <f t="shared" si="0"/>
        <v>1</v>
      </c>
      <c r="K17" s="10">
        <v>1</v>
      </c>
      <c r="L17" s="6" t="s">
        <v>54</v>
      </c>
    </row>
    <row r="18" spans="1:12" ht="25">
      <c r="A18" s="5">
        <v>13</v>
      </c>
      <c r="B18" s="5" t="s">
        <v>39</v>
      </c>
      <c r="C18" s="5" t="s">
        <v>55</v>
      </c>
      <c r="D18" s="6" t="s">
        <v>56</v>
      </c>
      <c r="E18" s="7" t="s">
        <v>18</v>
      </c>
      <c r="F18" s="5" t="s">
        <v>19</v>
      </c>
      <c r="G18" s="8">
        <v>0.14000000000000001</v>
      </c>
      <c r="H18" s="9">
        <v>46245</v>
      </c>
      <c r="I18" s="9">
        <v>46245</v>
      </c>
      <c r="J18" s="8">
        <f t="shared" si="0"/>
        <v>1</v>
      </c>
      <c r="K18" s="10">
        <v>1</v>
      </c>
      <c r="L18" s="6" t="s">
        <v>57</v>
      </c>
    </row>
    <row r="19" spans="1:12">
      <c r="A19" s="5">
        <v>14</v>
      </c>
      <c r="B19" s="5" t="s">
        <v>58</v>
      </c>
      <c r="C19" s="5" t="s">
        <v>59</v>
      </c>
      <c r="D19" s="6" t="s">
        <v>60</v>
      </c>
      <c r="E19" s="7" t="s">
        <v>18</v>
      </c>
      <c r="F19" s="5" t="s">
        <v>19</v>
      </c>
      <c r="G19" s="8">
        <v>0.14000000000000001</v>
      </c>
      <c r="H19" s="9">
        <v>46245</v>
      </c>
      <c r="I19" s="9">
        <v>46245</v>
      </c>
      <c r="J19" s="8">
        <f t="shared" si="0"/>
        <v>1</v>
      </c>
      <c r="K19" s="10">
        <v>1</v>
      </c>
      <c r="L19" s="6" t="s">
        <v>61</v>
      </c>
    </row>
    <row r="20" spans="1:12">
      <c r="A20" s="5">
        <v>15</v>
      </c>
      <c r="B20" s="5" t="s">
        <v>58</v>
      </c>
      <c r="C20" s="5" t="s">
        <v>62</v>
      </c>
      <c r="D20" s="6" t="s">
        <v>63</v>
      </c>
      <c r="E20" s="7" t="s">
        <v>18</v>
      </c>
      <c r="F20" s="5" t="s">
        <v>19</v>
      </c>
      <c r="G20" s="8">
        <v>0.14000000000000001</v>
      </c>
      <c r="H20" s="9">
        <v>46245</v>
      </c>
      <c r="I20" s="9">
        <v>46245</v>
      </c>
      <c r="J20" s="8">
        <f t="shared" si="0"/>
        <v>1</v>
      </c>
      <c r="K20" s="10">
        <v>1</v>
      </c>
      <c r="L20" s="6" t="s">
        <v>64</v>
      </c>
    </row>
    <row r="21" spans="1:12">
      <c r="A21" s="5">
        <v>16</v>
      </c>
      <c r="B21" s="5" t="s">
        <v>58</v>
      </c>
      <c r="C21" s="5" t="s">
        <v>65</v>
      </c>
      <c r="D21" s="6" t="s">
        <v>66</v>
      </c>
      <c r="E21" s="7" t="s">
        <v>18</v>
      </c>
      <c r="F21" s="5" t="s">
        <v>19</v>
      </c>
      <c r="G21" s="8">
        <v>0.14000000000000001</v>
      </c>
      <c r="H21" s="9">
        <v>46245</v>
      </c>
      <c r="I21" s="9">
        <v>46245</v>
      </c>
      <c r="J21" s="8">
        <f t="shared" si="0"/>
        <v>1</v>
      </c>
      <c r="K21" s="10">
        <v>1</v>
      </c>
      <c r="L21" s="6" t="s">
        <v>67</v>
      </c>
    </row>
    <row r="22" spans="1:12" ht="25">
      <c r="A22" s="5">
        <v>17</v>
      </c>
      <c r="B22" s="5" t="s">
        <v>58</v>
      </c>
      <c r="C22" s="5" t="s">
        <v>68</v>
      </c>
      <c r="D22" s="6" t="s">
        <v>69</v>
      </c>
      <c r="E22" s="7" t="s">
        <v>18</v>
      </c>
      <c r="F22" s="5" t="s">
        <v>19</v>
      </c>
      <c r="G22" s="8">
        <v>0.14000000000000001</v>
      </c>
      <c r="H22" s="9">
        <v>46245</v>
      </c>
      <c r="I22" s="9">
        <v>46245</v>
      </c>
      <c r="J22" s="8">
        <f t="shared" si="0"/>
        <v>1</v>
      </c>
      <c r="K22" s="10">
        <v>1</v>
      </c>
      <c r="L22" s="6" t="s">
        <v>70</v>
      </c>
    </row>
    <row r="23" spans="1:12" ht="25">
      <c r="A23" s="5">
        <v>18</v>
      </c>
      <c r="B23" s="5" t="s">
        <v>58</v>
      </c>
      <c r="C23" s="5" t="s">
        <v>71</v>
      </c>
      <c r="D23" s="6" t="s">
        <v>72</v>
      </c>
      <c r="E23" s="7" t="s">
        <v>18</v>
      </c>
      <c r="F23" s="5" t="s">
        <v>19</v>
      </c>
      <c r="G23" s="8">
        <v>0.14000000000000001</v>
      </c>
      <c r="H23" s="9">
        <v>46245</v>
      </c>
      <c r="I23" s="9">
        <v>46245</v>
      </c>
      <c r="J23" s="8">
        <f t="shared" si="0"/>
        <v>1</v>
      </c>
      <c r="K23" s="10">
        <v>1</v>
      </c>
      <c r="L23" s="6" t="s">
        <v>73</v>
      </c>
    </row>
    <row r="24" spans="1:12" ht="25">
      <c r="A24" s="5">
        <v>19</v>
      </c>
      <c r="B24" s="5" t="s">
        <v>58</v>
      </c>
      <c r="C24" s="5" t="s">
        <v>74</v>
      </c>
      <c r="D24" s="6" t="s">
        <v>75</v>
      </c>
      <c r="E24" s="7" t="s">
        <v>18</v>
      </c>
      <c r="F24" s="5" t="s">
        <v>19</v>
      </c>
      <c r="G24" s="8">
        <v>0.14000000000000001</v>
      </c>
      <c r="H24" s="9">
        <v>46245</v>
      </c>
      <c r="I24" s="9">
        <v>46245</v>
      </c>
      <c r="J24" s="8">
        <f t="shared" si="0"/>
        <v>1</v>
      </c>
      <c r="K24" s="10">
        <v>1</v>
      </c>
      <c r="L24" s="6" t="s">
        <v>76</v>
      </c>
    </row>
    <row r="25" spans="1:12">
      <c r="A25" s="5">
        <v>20</v>
      </c>
      <c r="B25" s="5" t="s">
        <v>58</v>
      </c>
      <c r="C25" s="5" t="s">
        <v>77</v>
      </c>
      <c r="D25" s="6" t="s">
        <v>78</v>
      </c>
      <c r="E25" s="7" t="s">
        <v>18</v>
      </c>
      <c r="F25" s="5" t="s">
        <v>19</v>
      </c>
      <c r="G25" s="8">
        <v>0.5</v>
      </c>
      <c r="H25" s="9">
        <v>46246</v>
      </c>
      <c r="I25" s="9">
        <v>46246</v>
      </c>
      <c r="J25" s="8">
        <f t="shared" si="0"/>
        <v>1</v>
      </c>
      <c r="K25" s="10">
        <v>1</v>
      </c>
      <c r="L25" s="6" t="s">
        <v>79</v>
      </c>
    </row>
    <row r="26" spans="1:12" ht="25">
      <c r="A26" s="5">
        <v>21</v>
      </c>
      <c r="B26" s="5" t="s">
        <v>58</v>
      </c>
      <c r="C26" s="5" t="s">
        <v>80</v>
      </c>
      <c r="D26" s="6" t="s">
        <v>81</v>
      </c>
      <c r="E26" s="7" t="s">
        <v>18</v>
      </c>
      <c r="F26" s="5" t="s">
        <v>19</v>
      </c>
      <c r="G26" s="8">
        <v>0.5</v>
      </c>
      <c r="H26" s="9">
        <v>46246</v>
      </c>
      <c r="I26" s="9">
        <v>46246</v>
      </c>
      <c r="J26" s="8">
        <f t="shared" si="0"/>
        <v>1</v>
      </c>
      <c r="K26" s="10">
        <v>1</v>
      </c>
      <c r="L26" s="6" t="s">
        <v>82</v>
      </c>
    </row>
    <row r="27" spans="1:12" ht="37.5">
      <c r="A27" s="5">
        <v>22</v>
      </c>
      <c r="B27" s="5" t="s">
        <v>83</v>
      </c>
      <c r="C27" s="5" t="s">
        <v>84</v>
      </c>
      <c r="D27" s="6" t="s">
        <v>85</v>
      </c>
      <c r="E27" s="11" t="s">
        <v>86</v>
      </c>
      <c r="F27" s="5" t="s">
        <v>19</v>
      </c>
      <c r="G27" s="12">
        <v>0.16</v>
      </c>
      <c r="H27" s="13">
        <v>46247</v>
      </c>
      <c r="I27" s="13">
        <v>46247</v>
      </c>
      <c r="J27" s="8">
        <f t="shared" si="0"/>
        <v>1</v>
      </c>
      <c r="K27" s="14">
        <v>0.35</v>
      </c>
      <c r="L27" s="6" t="s">
        <v>87</v>
      </c>
    </row>
    <row r="28" spans="1:12" ht="37.5">
      <c r="A28" s="5">
        <v>23</v>
      </c>
      <c r="B28" s="5" t="s">
        <v>83</v>
      </c>
      <c r="C28" s="5" t="s">
        <v>88</v>
      </c>
      <c r="D28" s="6" t="s">
        <v>89</v>
      </c>
      <c r="E28" s="11" t="s">
        <v>86</v>
      </c>
      <c r="F28" s="5" t="s">
        <v>19</v>
      </c>
      <c r="G28" s="12">
        <v>0.16</v>
      </c>
      <c r="H28" s="13">
        <v>46247</v>
      </c>
      <c r="I28" s="13">
        <v>46247</v>
      </c>
      <c r="J28" s="8">
        <f t="shared" si="0"/>
        <v>1</v>
      </c>
      <c r="K28" s="14">
        <v>0.2</v>
      </c>
      <c r="L28" s="6" t="s">
        <v>90</v>
      </c>
    </row>
    <row r="29" spans="1:12" ht="25">
      <c r="A29" s="5">
        <v>24</v>
      </c>
      <c r="B29" s="5" t="s">
        <v>83</v>
      </c>
      <c r="C29" s="5" t="s">
        <v>91</v>
      </c>
      <c r="D29" s="6" t="s">
        <v>92</v>
      </c>
      <c r="E29" s="11" t="s">
        <v>86</v>
      </c>
      <c r="F29" s="5" t="s">
        <v>19</v>
      </c>
      <c r="G29" s="12">
        <v>0.16</v>
      </c>
      <c r="H29" s="13">
        <v>46247</v>
      </c>
      <c r="I29" s="13">
        <v>46247</v>
      </c>
      <c r="J29" s="8">
        <f t="shared" si="0"/>
        <v>1</v>
      </c>
      <c r="K29" s="14">
        <v>0.55000000000000004</v>
      </c>
      <c r="L29" s="6" t="s">
        <v>93</v>
      </c>
    </row>
    <row r="30" spans="1:12" ht="25">
      <c r="A30" s="5">
        <v>25</v>
      </c>
      <c r="B30" s="5" t="s">
        <v>83</v>
      </c>
      <c r="C30" s="5" t="s">
        <v>94</v>
      </c>
      <c r="D30" s="6" t="s">
        <v>95</v>
      </c>
      <c r="E30" s="11" t="s">
        <v>86</v>
      </c>
      <c r="F30" s="5" t="s">
        <v>19</v>
      </c>
      <c r="G30" s="12">
        <v>0.16</v>
      </c>
      <c r="H30" s="13">
        <v>46247</v>
      </c>
      <c r="I30" s="13">
        <v>46247</v>
      </c>
      <c r="J30" s="8">
        <f t="shared" si="0"/>
        <v>1</v>
      </c>
      <c r="K30" s="14">
        <v>0.5</v>
      </c>
      <c r="L30" s="6" t="s">
        <v>96</v>
      </c>
    </row>
    <row r="31" spans="1:12" ht="37.5">
      <c r="A31" s="5">
        <v>26</v>
      </c>
      <c r="B31" s="5" t="s">
        <v>83</v>
      </c>
      <c r="C31" s="5" t="s">
        <v>97</v>
      </c>
      <c r="D31" s="6" t="s">
        <v>98</v>
      </c>
      <c r="E31" s="11" t="s">
        <v>86</v>
      </c>
      <c r="F31" s="5" t="s">
        <v>19</v>
      </c>
      <c r="G31" s="12">
        <v>0.16</v>
      </c>
      <c r="H31" s="13">
        <v>46247</v>
      </c>
      <c r="I31" s="13">
        <v>46247</v>
      </c>
      <c r="J31" s="8">
        <f t="shared" si="0"/>
        <v>1</v>
      </c>
      <c r="K31" s="14">
        <v>0.6</v>
      </c>
      <c r="L31" s="6" t="s">
        <v>99</v>
      </c>
    </row>
    <row r="32" spans="1:12" ht="25">
      <c r="A32" s="5">
        <v>27</v>
      </c>
      <c r="B32" s="5" t="s">
        <v>83</v>
      </c>
      <c r="C32" s="5" t="s">
        <v>100</v>
      </c>
      <c r="D32" s="6" t="s">
        <v>101</v>
      </c>
      <c r="E32" s="11" t="s">
        <v>86</v>
      </c>
      <c r="F32" s="5" t="s">
        <v>19</v>
      </c>
      <c r="G32" s="12">
        <v>0.33</v>
      </c>
      <c r="H32" s="13">
        <v>46248</v>
      </c>
      <c r="I32" s="13">
        <v>46248</v>
      </c>
      <c r="J32" s="8">
        <f t="shared" si="0"/>
        <v>1</v>
      </c>
      <c r="K32" s="14">
        <v>0.4</v>
      </c>
      <c r="L32" s="6" t="s">
        <v>102</v>
      </c>
    </row>
    <row r="33" spans="1:12" ht="37.5">
      <c r="A33" s="5">
        <v>28</v>
      </c>
      <c r="B33" s="5" t="s">
        <v>83</v>
      </c>
      <c r="C33" s="5" t="s">
        <v>103</v>
      </c>
      <c r="D33" s="6" t="s">
        <v>104</v>
      </c>
      <c r="E33" s="15" t="s">
        <v>105</v>
      </c>
      <c r="F33" s="5" t="s">
        <v>19</v>
      </c>
      <c r="G33" s="12">
        <v>0.33</v>
      </c>
      <c r="H33" s="13">
        <v>46248</v>
      </c>
      <c r="I33" s="13">
        <v>46248</v>
      </c>
      <c r="J33" s="8">
        <f t="shared" si="0"/>
        <v>1</v>
      </c>
      <c r="K33" s="14">
        <v>0</v>
      </c>
      <c r="L33" s="6" t="s">
        <v>106</v>
      </c>
    </row>
    <row r="34" spans="1:12" ht="25">
      <c r="A34" s="5">
        <v>29</v>
      </c>
      <c r="B34" s="5" t="s">
        <v>83</v>
      </c>
      <c r="C34" s="5" t="s">
        <v>107</v>
      </c>
      <c r="D34" s="6" t="s">
        <v>104</v>
      </c>
      <c r="E34" s="15" t="s">
        <v>105</v>
      </c>
      <c r="F34" s="5" t="s">
        <v>19</v>
      </c>
      <c r="G34" s="12">
        <v>0.33</v>
      </c>
      <c r="H34" s="13">
        <v>46248</v>
      </c>
      <c r="I34" s="13">
        <v>46248</v>
      </c>
      <c r="J34" s="8">
        <f t="shared" si="0"/>
        <v>1</v>
      </c>
      <c r="K34" s="14">
        <v>0</v>
      </c>
      <c r="L34" s="6" t="s">
        <v>108</v>
      </c>
    </row>
    <row r="35" spans="1:12" ht="25">
      <c r="A35" s="5">
        <v>30</v>
      </c>
      <c r="B35" s="5" t="s">
        <v>83</v>
      </c>
      <c r="C35" s="5" t="s">
        <v>109</v>
      </c>
      <c r="D35" s="6" t="s">
        <v>104</v>
      </c>
      <c r="E35" s="15" t="s">
        <v>105</v>
      </c>
      <c r="F35" s="5" t="s">
        <v>19</v>
      </c>
      <c r="G35" s="12">
        <v>2</v>
      </c>
      <c r="H35" s="13">
        <v>46250</v>
      </c>
      <c r="I35" s="13">
        <v>46251</v>
      </c>
      <c r="J35" s="8">
        <f t="shared" si="0"/>
        <v>2</v>
      </c>
      <c r="K35" s="14">
        <v>0</v>
      </c>
      <c r="L35" s="6" t="s">
        <v>110</v>
      </c>
    </row>
    <row r="36" spans="1:12" ht="25">
      <c r="A36" s="40">
        <v>31</v>
      </c>
      <c r="B36" s="40" t="s">
        <v>111</v>
      </c>
      <c r="C36" s="40" t="s">
        <v>112</v>
      </c>
      <c r="D36" s="41" t="s">
        <v>113</v>
      </c>
      <c r="E36" s="42" t="s">
        <v>86</v>
      </c>
      <c r="F36" s="40" t="s">
        <v>19</v>
      </c>
      <c r="G36" s="43">
        <v>1</v>
      </c>
      <c r="H36" s="44">
        <v>46251</v>
      </c>
      <c r="I36" s="44">
        <v>46251</v>
      </c>
      <c r="J36" s="43">
        <f t="shared" si="0"/>
        <v>1</v>
      </c>
      <c r="K36" s="45">
        <v>0.45</v>
      </c>
      <c r="L36" s="41" t="s">
        <v>114</v>
      </c>
    </row>
    <row r="37" spans="1:12" ht="25">
      <c r="A37" s="40">
        <v>32</v>
      </c>
      <c r="B37" s="40" t="s">
        <v>111</v>
      </c>
      <c r="C37" s="40" t="s">
        <v>115</v>
      </c>
      <c r="D37" s="41" t="s">
        <v>116</v>
      </c>
      <c r="E37" s="42" t="s">
        <v>86</v>
      </c>
      <c r="F37" s="40" t="s">
        <v>19</v>
      </c>
      <c r="G37" s="43">
        <v>1</v>
      </c>
      <c r="H37" s="44">
        <v>46252</v>
      </c>
      <c r="I37" s="44">
        <v>46252</v>
      </c>
      <c r="J37" s="43">
        <f t="shared" si="0"/>
        <v>1</v>
      </c>
      <c r="K37" s="45">
        <v>0.4</v>
      </c>
      <c r="L37" s="41" t="s">
        <v>117</v>
      </c>
    </row>
    <row r="38" spans="1:12" ht="25">
      <c r="A38" s="5">
        <v>33</v>
      </c>
      <c r="B38" s="5" t="s">
        <v>118</v>
      </c>
      <c r="C38" s="5" t="s">
        <v>119</v>
      </c>
      <c r="D38" s="6" t="s">
        <v>120</v>
      </c>
      <c r="E38" s="11" t="s">
        <v>86</v>
      </c>
      <c r="F38" s="5" t="s">
        <v>19</v>
      </c>
      <c r="G38" s="12">
        <v>2</v>
      </c>
      <c r="H38" s="13">
        <v>46253</v>
      </c>
      <c r="I38" s="13">
        <v>46254</v>
      </c>
      <c r="J38" s="8">
        <f t="shared" si="0"/>
        <v>2</v>
      </c>
      <c r="K38" s="14">
        <v>0.15</v>
      </c>
      <c r="L38" s="6" t="s">
        <v>121</v>
      </c>
    </row>
    <row r="39" spans="1:12" ht="37.5">
      <c r="A39" s="5">
        <v>34</v>
      </c>
      <c r="B39" s="5" t="s">
        <v>122</v>
      </c>
      <c r="C39" s="5" t="s">
        <v>123</v>
      </c>
      <c r="D39" s="6" t="s">
        <v>124</v>
      </c>
      <c r="E39" s="15" t="s">
        <v>105</v>
      </c>
      <c r="F39" s="5" t="s">
        <v>19</v>
      </c>
      <c r="G39" s="12">
        <v>1</v>
      </c>
      <c r="H39" s="13">
        <v>46257</v>
      </c>
      <c r="I39" s="13">
        <v>46257</v>
      </c>
      <c r="J39" s="8">
        <f t="shared" si="0"/>
        <v>1</v>
      </c>
      <c r="K39" s="14">
        <v>0</v>
      </c>
      <c r="L39" s="6" t="s">
        <v>125</v>
      </c>
    </row>
    <row r="40" spans="1:12" ht="25">
      <c r="A40" s="5">
        <v>35</v>
      </c>
      <c r="B40" s="5" t="s">
        <v>122</v>
      </c>
      <c r="C40" s="5" t="s">
        <v>126</v>
      </c>
      <c r="D40" s="6" t="s">
        <v>127</v>
      </c>
      <c r="E40" s="15" t="s">
        <v>105</v>
      </c>
      <c r="F40" s="5" t="s">
        <v>19</v>
      </c>
      <c r="G40" s="12">
        <v>1</v>
      </c>
      <c r="H40" s="13">
        <v>46258</v>
      </c>
      <c r="I40" s="13">
        <v>46258</v>
      </c>
      <c r="J40" s="8">
        <f t="shared" si="0"/>
        <v>1</v>
      </c>
      <c r="K40" s="14">
        <v>0</v>
      </c>
      <c r="L40" s="6" t="s">
        <v>128</v>
      </c>
    </row>
    <row r="41" spans="1:12" ht="25">
      <c r="A41" s="5">
        <v>36</v>
      </c>
      <c r="B41" s="5" t="s">
        <v>122</v>
      </c>
      <c r="C41" s="5" t="s">
        <v>129</v>
      </c>
      <c r="D41" s="6" t="s">
        <v>130</v>
      </c>
      <c r="E41" s="15" t="s">
        <v>105</v>
      </c>
      <c r="F41" s="5" t="s">
        <v>19</v>
      </c>
      <c r="G41" s="12">
        <v>1</v>
      </c>
      <c r="H41" s="13">
        <v>46259</v>
      </c>
      <c r="I41" s="13">
        <v>46259</v>
      </c>
      <c r="J41" s="8">
        <f t="shared" si="0"/>
        <v>1</v>
      </c>
      <c r="K41" s="14">
        <v>0</v>
      </c>
      <c r="L41" s="6" t="s">
        <v>131</v>
      </c>
    </row>
    <row r="42" spans="1:12" ht="25">
      <c r="A42" s="5">
        <v>37</v>
      </c>
      <c r="B42" s="5" t="s">
        <v>122</v>
      </c>
      <c r="C42" s="5" t="s">
        <v>132</v>
      </c>
      <c r="D42" s="6" t="s">
        <v>133</v>
      </c>
      <c r="E42" s="15" t="s">
        <v>105</v>
      </c>
      <c r="F42" s="5" t="s">
        <v>19</v>
      </c>
      <c r="G42" s="12">
        <v>1</v>
      </c>
      <c r="H42" s="13">
        <v>46260</v>
      </c>
      <c r="I42" s="13">
        <v>46260</v>
      </c>
      <c r="J42" s="8">
        <f t="shared" si="0"/>
        <v>1</v>
      </c>
      <c r="K42" s="14">
        <v>0</v>
      </c>
      <c r="L42" s="6" t="s">
        <v>134</v>
      </c>
    </row>
    <row r="43" spans="1:12" ht="25">
      <c r="A43" s="5">
        <v>38</v>
      </c>
      <c r="B43" s="5" t="s">
        <v>122</v>
      </c>
      <c r="C43" s="5" t="s">
        <v>135</v>
      </c>
      <c r="D43" s="6" t="s">
        <v>136</v>
      </c>
      <c r="E43" s="15" t="s">
        <v>105</v>
      </c>
      <c r="F43" s="5" t="s">
        <v>19</v>
      </c>
      <c r="G43" s="12">
        <v>1</v>
      </c>
      <c r="H43" s="13">
        <v>46261</v>
      </c>
      <c r="I43" s="13">
        <v>46261</v>
      </c>
      <c r="J43" s="8">
        <f t="shared" si="0"/>
        <v>1</v>
      </c>
      <c r="K43" s="14">
        <v>0</v>
      </c>
      <c r="L43" s="6" t="s">
        <v>137</v>
      </c>
    </row>
    <row r="45" spans="1:12">
      <c r="F45" s="16" t="s">
        <v>138</v>
      </c>
      <c r="G45" s="17">
        <f>SUM(G6:G43)</f>
        <v>17.53</v>
      </c>
      <c r="K45" s="18">
        <f>SUMPRODUCT(G6:G43,K6:K43)/G45</f>
        <v>0.36360524814603545</v>
      </c>
      <c r="L45" s="3" t="s">
        <v>139</v>
      </c>
    </row>
  </sheetData>
  <dataValidations count="1">
    <dataValidation type="list" sqref="E6:E43" xr:uid="{00000000-0002-0000-0000-000000000000}">
      <formula1>"Done,In progress,Not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defaultRowHeight="14.5"/>
  <cols>
    <col min="1" max="1" width="34" customWidth="1"/>
    <col min="2" max="2" width="16" customWidth="1"/>
    <col min="3" max="3" width="62" customWidth="1"/>
    <col min="4" max="4" width="15" customWidth="1"/>
  </cols>
  <sheetData>
    <row r="1" spans="1:4" ht="20">
      <c r="A1" s="1" t="s">
        <v>140</v>
      </c>
    </row>
    <row r="2" spans="1:4">
      <c r="A2" s="3" t="s">
        <v>141</v>
      </c>
    </row>
    <row r="4" spans="1:4">
      <c r="A4" s="19" t="s">
        <v>142</v>
      </c>
    </row>
    <row r="5" spans="1:4">
      <c r="A5" s="20" t="s">
        <v>7</v>
      </c>
      <c r="B5" s="20" t="s">
        <v>143</v>
      </c>
      <c r="C5" s="20" t="s">
        <v>144</v>
      </c>
      <c r="D5" s="20" t="s">
        <v>145</v>
      </c>
    </row>
    <row r="6" spans="1:4">
      <c r="A6" s="21" t="s">
        <v>18</v>
      </c>
      <c r="B6" s="22">
        <f>COUNTIF('Project Plan'!$E$6:$E$43,$A6)</f>
        <v>21</v>
      </c>
      <c r="C6" s="22">
        <f>SUMIF('Project Plan'!$E$6:$E$43,$A6,'Project Plan'!$G$6:$G$43)</f>
        <v>4.7400000000000011</v>
      </c>
      <c r="D6" s="23">
        <f>C6/$C$9</f>
        <v>0.27039361095265263</v>
      </c>
    </row>
    <row r="7" spans="1:4">
      <c r="A7" s="24" t="s">
        <v>86</v>
      </c>
      <c r="B7" s="22">
        <f>COUNTIF('Project Plan'!$E$6:$E$43,$A7)</f>
        <v>9</v>
      </c>
      <c r="C7" s="22">
        <f>SUMIF('Project Plan'!$E$6:$E$43,$A7,'Project Plan'!$G$6:$G$43)</f>
        <v>5.13</v>
      </c>
      <c r="D7" s="23">
        <f>C7/$C$9</f>
        <v>0.29264118653736448</v>
      </c>
    </row>
    <row r="8" spans="1:4">
      <c r="A8" s="25" t="s">
        <v>105</v>
      </c>
      <c r="B8" s="22">
        <f>COUNTIF('Project Plan'!$E$6:$E$43,$A8)</f>
        <v>8</v>
      </c>
      <c r="C8" s="22">
        <f>SUMIF('Project Plan'!$E$6:$E$43,$A8,'Project Plan'!$G$6:$G$43)</f>
        <v>7.66</v>
      </c>
      <c r="D8" s="23">
        <f>C8/$C$9</f>
        <v>0.43696520250998289</v>
      </c>
    </row>
    <row r="9" spans="1:4">
      <c r="A9" s="26" t="s">
        <v>138</v>
      </c>
      <c r="B9" s="22">
        <f>SUM(B6:B8)</f>
        <v>38</v>
      </c>
      <c r="C9" s="22">
        <f>SUM(C6:C8)</f>
        <v>17.53</v>
      </c>
      <c r="D9" s="23">
        <f>SUM(D6:D8)</f>
        <v>1</v>
      </c>
    </row>
    <row r="10" spans="1:4">
      <c r="A10" s="27"/>
      <c r="B10" s="27"/>
      <c r="C10" s="27"/>
      <c r="D10" s="27"/>
    </row>
    <row r="11" spans="1:4">
      <c r="A11" s="28" t="s">
        <v>146</v>
      </c>
      <c r="B11" s="27"/>
      <c r="C11" s="27"/>
      <c r="D11" s="27"/>
    </row>
    <row r="12" spans="1:4">
      <c r="A12" s="20" t="s">
        <v>4</v>
      </c>
      <c r="B12" s="20" t="s">
        <v>143</v>
      </c>
      <c r="C12" s="20" t="s">
        <v>144</v>
      </c>
      <c r="D12" s="20" t="s">
        <v>13</v>
      </c>
    </row>
    <row r="13" spans="1:4">
      <c r="A13" s="22" t="s">
        <v>15</v>
      </c>
      <c r="B13" s="22">
        <f>COUNTIF('Project Plan'!$B$6:$B$43,$A13)</f>
        <v>7</v>
      </c>
      <c r="C13" s="22">
        <f>SUMIF('Project Plan'!$B$6:$B$43,$A13,'Project Plan'!$G$6:$G$43)</f>
        <v>1.9599999999999995</v>
      </c>
      <c r="D13" s="29">
        <f>IF(C13=0,0,SUMPRODUCT(('Project Plan'!$B$6:$B$43=$A13)*'Project Plan'!$G$6:$G$43*'Project Plan'!$K$6:$K$43)/C13)</f>
        <v>1</v>
      </c>
    </row>
    <row r="14" spans="1:4">
      <c r="A14" s="22" t="s">
        <v>39</v>
      </c>
      <c r="B14" s="22">
        <f>COUNTIF('Project Plan'!$B$6:$B$43,$A14)</f>
        <v>6</v>
      </c>
      <c r="C14" s="22">
        <f>SUMIF('Project Plan'!$B$6:$B$43,$A14,'Project Plan'!$G$6:$G$43)</f>
        <v>0.94000000000000006</v>
      </c>
      <c r="D14" s="29">
        <f>IF(C14=0,0,SUMPRODUCT(('Project Plan'!$B$6:$B$43=$A14)*'Project Plan'!$G$6:$G$43*'Project Plan'!$K$6:$K$43)/C14)</f>
        <v>1</v>
      </c>
    </row>
    <row r="15" spans="1:4">
      <c r="A15" s="22" t="s">
        <v>58</v>
      </c>
      <c r="B15" s="22">
        <f>COUNTIF('Project Plan'!$B$6:$B$43,$A15)</f>
        <v>8</v>
      </c>
      <c r="C15" s="22">
        <f>SUMIF('Project Plan'!$B$6:$B$43,$A15,'Project Plan'!$G$6:$G$43)</f>
        <v>1.84</v>
      </c>
      <c r="D15" s="29">
        <f>IF(C15=0,0,SUMPRODUCT(('Project Plan'!$B$6:$B$43=$A15)*'Project Plan'!$G$6:$G$43*'Project Plan'!$K$6:$K$43)/C15)</f>
        <v>1</v>
      </c>
    </row>
    <row r="16" spans="1:4">
      <c r="A16" s="22" t="s">
        <v>83</v>
      </c>
      <c r="B16" s="22">
        <f>COUNTIF('Project Plan'!$B$6:$B$43,$A16)</f>
        <v>9</v>
      </c>
      <c r="C16" s="22">
        <f>SUMIF('Project Plan'!$B$6:$B$43,$A16,'Project Plan'!$G$6:$G$43)</f>
        <v>3.79</v>
      </c>
      <c r="D16" s="29">
        <f>IF(C16=0,0,SUMPRODUCT(('Project Plan'!$B$6:$B$43=$A16)*'Project Plan'!$G$6:$G$43*'Project Plan'!$K$6:$K$43)/C16)</f>
        <v>0.12770448548812666</v>
      </c>
    </row>
    <row r="17" spans="1:4">
      <c r="A17" s="22" t="s">
        <v>111</v>
      </c>
      <c r="B17" s="22">
        <f>COUNTIF('Project Plan'!$B$6:$B$43,$A17)</f>
        <v>2</v>
      </c>
      <c r="C17" s="22">
        <f>SUMIF('Project Plan'!$B$6:$B$43,$A17,'Project Plan'!$G$6:$G$43)</f>
        <v>2</v>
      </c>
      <c r="D17" s="29">
        <f>IF(C17=0,0,SUMPRODUCT(('Project Plan'!$B$6:$B$43=$A17)*'Project Plan'!$G$6:$G$43*'Project Plan'!$K$6:$K$43)/C17)</f>
        <v>0.42500000000000004</v>
      </c>
    </row>
    <row r="18" spans="1:4">
      <c r="A18" s="22" t="s">
        <v>118</v>
      </c>
      <c r="B18" s="22">
        <f>COUNTIF('Project Plan'!$B$6:$B$43,$A18)</f>
        <v>1</v>
      </c>
      <c r="C18" s="22">
        <f>SUMIF('Project Plan'!$B$6:$B$43,$A18,'Project Plan'!$G$6:$G$43)</f>
        <v>2</v>
      </c>
      <c r="D18" s="29">
        <f>IF(C18=0,0,SUMPRODUCT(('Project Plan'!$B$6:$B$43=$A18)*'Project Plan'!$G$6:$G$43*'Project Plan'!$K$6:$K$43)/C18)</f>
        <v>0.15</v>
      </c>
    </row>
    <row r="19" spans="1:4">
      <c r="A19" s="22" t="s">
        <v>122</v>
      </c>
      <c r="B19" s="22">
        <f>COUNTIF('Project Plan'!$B$6:$B$43,$A19)</f>
        <v>5</v>
      </c>
      <c r="C19" s="22">
        <f>SUMIF('Project Plan'!$B$6:$B$43,$A19,'Project Plan'!$G$6:$G$43)</f>
        <v>5</v>
      </c>
      <c r="D19" s="29">
        <f>IF(C19=0,0,SUMPRODUCT(('Project Plan'!$B$6:$B$43=$A19)*'Project Plan'!$G$6:$G$43*'Project Plan'!$K$6:$K$43)/C19)</f>
        <v>0</v>
      </c>
    </row>
    <row r="20" spans="1:4">
      <c r="A20" s="27"/>
      <c r="B20" s="27"/>
      <c r="C20" s="27"/>
      <c r="D20" s="27"/>
    </row>
    <row r="21" spans="1:4">
      <c r="A21" s="28" t="s">
        <v>147</v>
      </c>
      <c r="B21" s="27"/>
      <c r="C21" s="27"/>
      <c r="D21" s="27"/>
    </row>
    <row r="22" spans="1:4">
      <c r="A22" s="20" t="s">
        <v>148</v>
      </c>
      <c r="B22" s="20" t="s">
        <v>149</v>
      </c>
      <c r="C22" s="20" t="s">
        <v>150</v>
      </c>
      <c r="D22" s="27"/>
    </row>
    <row r="23" spans="1:4">
      <c r="A23" s="22" t="s">
        <v>151</v>
      </c>
      <c r="B23" s="30">
        <v>46238</v>
      </c>
      <c r="C23" s="31" t="s">
        <v>152</v>
      </c>
      <c r="D23" s="27"/>
    </row>
    <row r="24" spans="1:4">
      <c r="A24" s="22" t="s">
        <v>153</v>
      </c>
      <c r="B24" s="30">
        <v>46244</v>
      </c>
      <c r="C24" s="31" t="s">
        <v>154</v>
      </c>
      <c r="D24" s="27"/>
    </row>
    <row r="25" spans="1:4">
      <c r="A25" s="22" t="s">
        <v>155</v>
      </c>
      <c r="B25" s="30">
        <v>46245</v>
      </c>
      <c r="C25" s="31" t="s">
        <v>156</v>
      </c>
      <c r="D25" s="27"/>
    </row>
    <row r="26" spans="1:4">
      <c r="A26" s="22" t="s">
        <v>157</v>
      </c>
      <c r="B26" s="30">
        <f>SUMPRODUCT(MAX(('Project Plan'!$B$6:$B$43="Setup modules")*'Project Plan'!$I$6:$I$43))</f>
        <v>46251</v>
      </c>
      <c r="C26" s="31" t="s">
        <v>158</v>
      </c>
      <c r="D26" s="27"/>
    </row>
    <row r="27" spans="1:4">
      <c r="A27" s="22" t="s">
        <v>159</v>
      </c>
      <c r="B27" s="30">
        <f>SUMPRODUCT(MAX(('Project Plan'!$B$6:$B$43="Reporting")*'Project Plan'!$I$6:$I$43))</f>
        <v>46254</v>
      </c>
      <c r="C27" s="31" t="s">
        <v>160</v>
      </c>
      <c r="D27" s="27"/>
    </row>
    <row r="28" spans="1:4">
      <c r="A28" t="s">
        <v>161</v>
      </c>
      <c r="B28" s="32">
        <v>46337</v>
      </c>
      <c r="C28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/>
  <cols>
    <col min="1" max="1" width="30" customWidth="1"/>
    <col min="2" max="2" width="12" customWidth="1"/>
    <col min="3" max="16" width="5" customWidth="1"/>
  </cols>
  <sheetData>
    <row r="1" spans="1:16" ht="20">
      <c r="A1" s="1" t="s">
        <v>163</v>
      </c>
    </row>
    <row r="2" spans="1:16">
      <c r="A2" s="3" t="s">
        <v>164</v>
      </c>
      <c r="C2" s="33">
        <v>46236</v>
      </c>
      <c r="D2" s="33">
        <v>46243</v>
      </c>
      <c r="E2" s="33">
        <v>46250</v>
      </c>
      <c r="F2" s="33">
        <v>46257</v>
      </c>
      <c r="G2" s="33">
        <v>46264</v>
      </c>
      <c r="H2" s="33">
        <v>46271</v>
      </c>
      <c r="I2" s="33">
        <v>46278</v>
      </c>
      <c r="J2" s="33">
        <v>46285</v>
      </c>
      <c r="K2" s="33">
        <v>46292</v>
      </c>
      <c r="L2" s="33">
        <v>46299</v>
      </c>
      <c r="M2" s="33">
        <v>46306</v>
      </c>
      <c r="N2" s="33">
        <v>46313</v>
      </c>
      <c r="O2" s="33">
        <v>46320</v>
      </c>
      <c r="P2" s="33">
        <v>46327</v>
      </c>
    </row>
    <row r="3" spans="1:16">
      <c r="C3" s="33">
        <v>46242</v>
      </c>
      <c r="D3" s="33">
        <v>46249</v>
      </c>
      <c r="E3" s="33">
        <v>46256</v>
      </c>
      <c r="F3" s="33">
        <v>46263</v>
      </c>
      <c r="G3" s="33">
        <v>46270</v>
      </c>
      <c r="H3" s="33">
        <v>46277</v>
      </c>
      <c r="I3" s="33">
        <v>46284</v>
      </c>
      <c r="J3" s="33">
        <v>46291</v>
      </c>
      <c r="K3" s="33">
        <v>46298</v>
      </c>
      <c r="L3" s="33">
        <v>46305</v>
      </c>
      <c r="M3" s="33">
        <v>46312</v>
      </c>
      <c r="N3" s="33">
        <v>46319</v>
      </c>
      <c r="O3" s="33">
        <v>46326</v>
      </c>
      <c r="P3" s="33">
        <v>46333</v>
      </c>
    </row>
    <row r="4" spans="1:16" ht="31">
      <c r="A4" s="34" t="s">
        <v>5</v>
      </c>
      <c r="B4" s="34" t="s">
        <v>7</v>
      </c>
      <c r="C4" s="35" t="s">
        <v>165</v>
      </c>
      <c r="D4" s="35" t="s">
        <v>166</v>
      </c>
      <c r="E4" s="35" t="s">
        <v>167</v>
      </c>
      <c r="F4" s="35" t="s">
        <v>168</v>
      </c>
      <c r="G4" s="35" t="s">
        <v>169</v>
      </c>
      <c r="H4" s="35" t="s">
        <v>170</v>
      </c>
      <c r="I4" s="35" t="s">
        <v>171</v>
      </c>
      <c r="J4" s="35" t="s">
        <v>172</v>
      </c>
      <c r="K4" s="35" t="s">
        <v>173</v>
      </c>
      <c r="L4" s="35" t="s">
        <v>174</v>
      </c>
      <c r="M4" s="35" t="s">
        <v>175</v>
      </c>
      <c r="N4" s="35" t="s">
        <v>176</v>
      </c>
      <c r="O4" s="35" t="s">
        <v>177</v>
      </c>
      <c r="P4" s="35" t="s">
        <v>178</v>
      </c>
    </row>
    <row r="5" spans="1:16">
      <c r="A5" s="36" t="str">
        <f>'Project Plan'!C6</f>
        <v>Architecture &amp; repository</v>
      </c>
      <c r="B5" s="36" t="str">
        <f>'Project Plan'!E6</f>
        <v>Done</v>
      </c>
      <c r="C5" s="37" t="str">
        <f>IF(AND('Project Plan'!$H6&lt;=C$3,'Project Plan'!$I6&gt;=C$2),"█","")</f>
        <v>█</v>
      </c>
      <c r="D5" s="37" t="str">
        <f>IF(AND('Project Plan'!$H6&lt;=D$3,'Project Plan'!$I6&gt;=D$2),"█","")</f>
        <v/>
      </c>
      <c r="E5" s="37" t="str">
        <f>IF(AND('Project Plan'!$H6&lt;=E$3,'Project Plan'!$I6&gt;=E$2),"█","")</f>
        <v/>
      </c>
      <c r="F5" s="37" t="str">
        <f>IF(AND('Project Plan'!$H6&lt;=F$3,'Project Plan'!$I6&gt;=F$2),"█","")</f>
        <v/>
      </c>
      <c r="G5" s="37" t="str">
        <f>IF(AND('Project Plan'!$H6&lt;=G$3,'Project Plan'!$I6&gt;=G$2),"█","")</f>
        <v/>
      </c>
      <c r="H5" s="37" t="str">
        <f>IF(AND('Project Plan'!$H6&lt;=H$3,'Project Plan'!$I6&gt;=H$2),"█","")</f>
        <v/>
      </c>
      <c r="I5" s="37" t="str">
        <f>IF(AND('Project Plan'!$H6&lt;=I$3,'Project Plan'!$I6&gt;=I$2),"█","")</f>
        <v/>
      </c>
      <c r="J5" s="37" t="str">
        <f>IF(AND('Project Plan'!$H6&lt;=J$3,'Project Plan'!$I6&gt;=J$2),"█","")</f>
        <v/>
      </c>
      <c r="K5" s="37" t="str">
        <f>IF(AND('Project Plan'!$H6&lt;=K$3,'Project Plan'!$I6&gt;=K$2),"█","")</f>
        <v/>
      </c>
      <c r="L5" s="37" t="str">
        <f>IF(AND('Project Plan'!$H6&lt;=L$3,'Project Plan'!$I6&gt;=L$2),"█","")</f>
        <v/>
      </c>
      <c r="M5" s="37" t="str">
        <f>IF(AND('Project Plan'!$H6&lt;=M$3,'Project Plan'!$I6&gt;=M$2),"█","")</f>
        <v/>
      </c>
      <c r="N5" s="37" t="str">
        <f>IF(AND('Project Plan'!$H6&lt;=N$3,'Project Plan'!$I6&gt;=N$2),"█","")</f>
        <v/>
      </c>
      <c r="O5" s="37" t="str">
        <f>IF(AND('Project Plan'!$H6&lt;=O$3,'Project Plan'!$I6&gt;=O$2),"█","")</f>
        <v/>
      </c>
      <c r="P5" s="37" t="str">
        <f>IF(AND('Project Plan'!$H6&lt;=P$3,'Project Plan'!$I6&gt;=P$2),"█","")</f>
        <v/>
      </c>
    </row>
    <row r="6" spans="1:16">
      <c r="A6" s="36" t="str">
        <f>'Project Plan'!C7</f>
        <v>ZATCA signing on the device</v>
      </c>
      <c r="B6" s="36" t="str">
        <f>'Project Plan'!E7</f>
        <v>Done</v>
      </c>
      <c r="C6" s="37" t="str">
        <f>IF(AND('Project Plan'!$H7&lt;=C$3,'Project Plan'!$I7&gt;=C$2),"█","")</f>
        <v>█</v>
      </c>
      <c r="D6" s="37" t="str">
        <f>IF(AND('Project Plan'!$H7&lt;=D$3,'Project Plan'!$I7&gt;=D$2),"█","")</f>
        <v/>
      </c>
      <c r="E6" s="37" t="str">
        <f>IF(AND('Project Plan'!$H7&lt;=E$3,'Project Plan'!$I7&gt;=E$2),"█","")</f>
        <v/>
      </c>
      <c r="F6" s="37" t="str">
        <f>IF(AND('Project Plan'!$H7&lt;=F$3,'Project Plan'!$I7&gt;=F$2),"█","")</f>
        <v/>
      </c>
      <c r="G6" s="37" t="str">
        <f>IF(AND('Project Plan'!$H7&lt;=G$3,'Project Plan'!$I7&gt;=G$2),"█","")</f>
        <v/>
      </c>
      <c r="H6" s="37" t="str">
        <f>IF(AND('Project Plan'!$H7&lt;=H$3,'Project Plan'!$I7&gt;=H$2),"█","")</f>
        <v/>
      </c>
      <c r="I6" s="37" t="str">
        <f>IF(AND('Project Plan'!$H7&lt;=I$3,'Project Plan'!$I7&gt;=I$2),"█","")</f>
        <v/>
      </c>
      <c r="J6" s="37" t="str">
        <f>IF(AND('Project Plan'!$H7&lt;=J$3,'Project Plan'!$I7&gt;=J$2),"█","")</f>
        <v/>
      </c>
      <c r="K6" s="37" t="str">
        <f>IF(AND('Project Plan'!$H7&lt;=K$3,'Project Plan'!$I7&gt;=K$2),"█","")</f>
        <v/>
      </c>
      <c r="L6" s="37" t="str">
        <f>IF(AND('Project Plan'!$H7&lt;=L$3,'Project Plan'!$I7&gt;=L$2),"█","")</f>
        <v/>
      </c>
      <c r="M6" s="37" t="str">
        <f>IF(AND('Project Plan'!$H7&lt;=M$3,'Project Plan'!$I7&gt;=M$2),"█","")</f>
        <v/>
      </c>
      <c r="N6" s="37" t="str">
        <f>IF(AND('Project Plan'!$H7&lt;=N$3,'Project Plan'!$I7&gt;=N$2),"█","")</f>
        <v/>
      </c>
      <c r="O6" s="37" t="str">
        <f>IF(AND('Project Plan'!$H7&lt;=O$3,'Project Plan'!$I7&gt;=O$2),"█","")</f>
        <v/>
      </c>
      <c r="P6" s="37" t="str">
        <f>IF(AND('Project Plan'!$H7&lt;=P$3,'Project Plan'!$I7&gt;=P$2),"█","")</f>
        <v/>
      </c>
    </row>
    <row r="7" spans="1:16">
      <c r="A7" s="36" t="str">
        <f>'Project Plan'!C8</f>
        <v>Printer Setup</v>
      </c>
      <c r="B7" s="36" t="str">
        <f>'Project Plan'!E8</f>
        <v>Done</v>
      </c>
      <c r="C7" s="37" t="str">
        <f>IF(AND('Project Plan'!$H8&lt;=C$3,'Project Plan'!$I8&gt;=C$2),"█","")</f>
        <v>█</v>
      </c>
      <c r="D7" s="37" t="str">
        <f>IF(AND('Project Plan'!$H8&lt;=D$3,'Project Plan'!$I8&gt;=D$2),"█","")</f>
        <v/>
      </c>
      <c r="E7" s="37" t="str">
        <f>IF(AND('Project Plan'!$H8&lt;=E$3,'Project Plan'!$I8&gt;=E$2),"█","")</f>
        <v/>
      </c>
      <c r="F7" s="37" t="str">
        <f>IF(AND('Project Plan'!$H8&lt;=F$3,'Project Plan'!$I8&gt;=F$2),"█","")</f>
        <v/>
      </c>
      <c r="G7" s="37" t="str">
        <f>IF(AND('Project Plan'!$H8&lt;=G$3,'Project Plan'!$I8&gt;=G$2),"█","")</f>
        <v/>
      </c>
      <c r="H7" s="37" t="str">
        <f>IF(AND('Project Plan'!$H8&lt;=H$3,'Project Plan'!$I8&gt;=H$2),"█","")</f>
        <v/>
      </c>
      <c r="I7" s="37" t="str">
        <f>IF(AND('Project Plan'!$H8&lt;=I$3,'Project Plan'!$I8&gt;=I$2),"█","")</f>
        <v/>
      </c>
      <c r="J7" s="37" t="str">
        <f>IF(AND('Project Plan'!$H8&lt;=J$3,'Project Plan'!$I8&gt;=J$2),"█","")</f>
        <v/>
      </c>
      <c r="K7" s="37" t="str">
        <f>IF(AND('Project Plan'!$H8&lt;=K$3,'Project Plan'!$I8&gt;=K$2),"█","")</f>
        <v/>
      </c>
      <c r="L7" s="37" t="str">
        <f>IF(AND('Project Plan'!$H8&lt;=L$3,'Project Plan'!$I8&gt;=L$2),"█","")</f>
        <v/>
      </c>
      <c r="M7" s="37" t="str">
        <f>IF(AND('Project Plan'!$H8&lt;=M$3,'Project Plan'!$I8&gt;=M$2),"█","")</f>
        <v/>
      </c>
      <c r="N7" s="37" t="str">
        <f>IF(AND('Project Plan'!$H8&lt;=N$3,'Project Plan'!$I8&gt;=N$2),"█","")</f>
        <v/>
      </c>
      <c r="O7" s="37" t="str">
        <f>IF(AND('Project Plan'!$H8&lt;=O$3,'Project Plan'!$I8&gt;=O$2),"█","")</f>
        <v/>
      </c>
      <c r="P7" s="37" t="str">
        <f>IF(AND('Project Plan'!$H8&lt;=P$3,'Project Plan'!$I8&gt;=P$2),"█","")</f>
        <v/>
      </c>
    </row>
    <row r="8" spans="1:16">
      <c r="A8" s="36" t="str">
        <f>'Project Plan'!C9</f>
        <v>Windows desktop target</v>
      </c>
      <c r="B8" s="36" t="str">
        <f>'Project Plan'!E9</f>
        <v>Done</v>
      </c>
      <c r="C8" s="37" t="str">
        <f>IF(AND('Project Plan'!$H9&lt;=C$3,'Project Plan'!$I9&gt;=C$2),"█","")</f>
        <v>█</v>
      </c>
      <c r="D8" s="37" t="str">
        <f>IF(AND('Project Plan'!$H9&lt;=D$3,'Project Plan'!$I9&gt;=D$2),"█","")</f>
        <v/>
      </c>
      <c r="E8" s="37" t="str">
        <f>IF(AND('Project Plan'!$H9&lt;=E$3,'Project Plan'!$I9&gt;=E$2),"█","")</f>
        <v/>
      </c>
      <c r="F8" s="37" t="str">
        <f>IF(AND('Project Plan'!$H9&lt;=F$3,'Project Plan'!$I9&gt;=F$2),"█","")</f>
        <v/>
      </c>
      <c r="G8" s="37" t="str">
        <f>IF(AND('Project Plan'!$H9&lt;=G$3,'Project Plan'!$I9&gt;=G$2),"█","")</f>
        <v/>
      </c>
      <c r="H8" s="37" t="str">
        <f>IF(AND('Project Plan'!$H9&lt;=H$3,'Project Plan'!$I9&gt;=H$2),"█","")</f>
        <v/>
      </c>
      <c r="I8" s="37" t="str">
        <f>IF(AND('Project Plan'!$H9&lt;=I$3,'Project Plan'!$I9&gt;=I$2),"█","")</f>
        <v/>
      </c>
      <c r="J8" s="37" t="str">
        <f>IF(AND('Project Plan'!$H9&lt;=J$3,'Project Plan'!$I9&gt;=J$2),"█","")</f>
        <v/>
      </c>
      <c r="K8" s="37" t="str">
        <f>IF(AND('Project Plan'!$H9&lt;=K$3,'Project Plan'!$I9&gt;=K$2),"█","")</f>
        <v/>
      </c>
      <c r="L8" s="37" t="str">
        <f>IF(AND('Project Plan'!$H9&lt;=L$3,'Project Plan'!$I9&gt;=L$2),"█","")</f>
        <v/>
      </c>
      <c r="M8" s="37" t="str">
        <f>IF(AND('Project Plan'!$H9&lt;=M$3,'Project Plan'!$I9&gt;=M$2),"█","")</f>
        <v/>
      </c>
      <c r="N8" s="37" t="str">
        <f>IF(AND('Project Plan'!$H9&lt;=N$3,'Project Plan'!$I9&gt;=N$2),"█","")</f>
        <v/>
      </c>
      <c r="O8" s="37" t="str">
        <f>IF(AND('Project Plan'!$H9&lt;=O$3,'Project Plan'!$I9&gt;=O$2),"█","")</f>
        <v/>
      </c>
      <c r="P8" s="37" t="str">
        <f>IF(AND('Project Plan'!$H9&lt;=P$3,'Project Plan'!$I9&gt;=P$2),"█","")</f>
        <v/>
      </c>
    </row>
    <row r="9" spans="1:16">
      <c r="A9" s="36" t="str">
        <f>'Project Plan'!C10</f>
        <v>Till Setup / device enrolment</v>
      </c>
      <c r="B9" s="36" t="str">
        <f>'Project Plan'!E10</f>
        <v>Done</v>
      </c>
      <c r="C9" s="37" t="str">
        <f>IF(AND('Project Plan'!$H10&lt;=C$3,'Project Plan'!$I10&gt;=C$2),"█","")</f>
        <v>█</v>
      </c>
      <c r="D9" s="37" t="str">
        <f>IF(AND('Project Plan'!$H10&lt;=D$3,'Project Plan'!$I10&gt;=D$2),"█","")</f>
        <v/>
      </c>
      <c r="E9" s="37" t="str">
        <f>IF(AND('Project Plan'!$H10&lt;=E$3,'Project Plan'!$I10&gt;=E$2),"█","")</f>
        <v/>
      </c>
      <c r="F9" s="37" t="str">
        <f>IF(AND('Project Plan'!$H10&lt;=F$3,'Project Plan'!$I10&gt;=F$2),"█","")</f>
        <v/>
      </c>
      <c r="G9" s="37" t="str">
        <f>IF(AND('Project Plan'!$H10&lt;=G$3,'Project Plan'!$I10&gt;=G$2),"█","")</f>
        <v/>
      </c>
      <c r="H9" s="37" t="str">
        <f>IF(AND('Project Plan'!$H10&lt;=H$3,'Project Plan'!$I10&gt;=H$2),"█","")</f>
        <v/>
      </c>
      <c r="I9" s="37" t="str">
        <f>IF(AND('Project Plan'!$H10&lt;=I$3,'Project Plan'!$I10&gt;=I$2),"█","")</f>
        <v/>
      </c>
      <c r="J9" s="37" t="str">
        <f>IF(AND('Project Plan'!$H10&lt;=J$3,'Project Plan'!$I10&gt;=J$2),"█","")</f>
        <v/>
      </c>
      <c r="K9" s="37" t="str">
        <f>IF(AND('Project Plan'!$H10&lt;=K$3,'Project Plan'!$I10&gt;=K$2),"█","")</f>
        <v/>
      </c>
      <c r="L9" s="37" t="str">
        <f>IF(AND('Project Plan'!$H10&lt;=L$3,'Project Plan'!$I10&gt;=L$2),"█","")</f>
        <v/>
      </c>
      <c r="M9" s="37" t="str">
        <f>IF(AND('Project Plan'!$H10&lt;=M$3,'Project Plan'!$I10&gt;=M$2),"█","")</f>
        <v/>
      </c>
      <c r="N9" s="37" t="str">
        <f>IF(AND('Project Plan'!$H10&lt;=N$3,'Project Plan'!$I10&gt;=N$2),"█","")</f>
        <v/>
      </c>
      <c r="O9" s="37" t="str">
        <f>IF(AND('Project Plan'!$H10&lt;=O$3,'Project Plan'!$I10&gt;=O$2),"█","")</f>
        <v/>
      </c>
      <c r="P9" s="37" t="str">
        <f>IF(AND('Project Plan'!$H10&lt;=P$3,'Project Plan'!$I10&gt;=P$2),"█","")</f>
        <v/>
      </c>
    </row>
    <row r="10" spans="1:16">
      <c r="A10" s="36" t="str">
        <f>'Project Plan'!C11</f>
        <v>Back office foundation</v>
      </c>
      <c r="B10" s="36" t="str">
        <f>'Project Plan'!E11</f>
        <v>Done</v>
      </c>
      <c r="C10" s="37" t="str">
        <f>IF(AND('Project Plan'!$H11&lt;=C$3,'Project Plan'!$I11&gt;=C$2),"█","")</f>
        <v>█</v>
      </c>
      <c r="D10" s="37" t="str">
        <f>IF(AND('Project Plan'!$H11&lt;=D$3,'Project Plan'!$I11&gt;=D$2),"█","")</f>
        <v/>
      </c>
      <c r="E10" s="37" t="str">
        <f>IF(AND('Project Plan'!$H11&lt;=E$3,'Project Plan'!$I11&gt;=E$2),"█","")</f>
        <v/>
      </c>
      <c r="F10" s="37" t="str">
        <f>IF(AND('Project Plan'!$H11&lt;=F$3,'Project Plan'!$I11&gt;=F$2),"█","")</f>
        <v/>
      </c>
      <c r="G10" s="37" t="str">
        <f>IF(AND('Project Plan'!$H11&lt;=G$3,'Project Plan'!$I11&gt;=G$2),"█","")</f>
        <v/>
      </c>
      <c r="H10" s="37" t="str">
        <f>IF(AND('Project Plan'!$H11&lt;=H$3,'Project Plan'!$I11&gt;=H$2),"█","")</f>
        <v/>
      </c>
      <c r="I10" s="37" t="str">
        <f>IF(AND('Project Plan'!$H11&lt;=I$3,'Project Plan'!$I11&gt;=I$2),"█","")</f>
        <v/>
      </c>
      <c r="J10" s="37" t="str">
        <f>IF(AND('Project Plan'!$H11&lt;=J$3,'Project Plan'!$I11&gt;=J$2),"█","")</f>
        <v/>
      </c>
      <c r="K10" s="37" t="str">
        <f>IF(AND('Project Plan'!$H11&lt;=K$3,'Project Plan'!$I11&gt;=K$2),"█","")</f>
        <v/>
      </c>
      <c r="L10" s="37" t="str">
        <f>IF(AND('Project Plan'!$H11&lt;=L$3,'Project Plan'!$I11&gt;=L$2),"█","")</f>
        <v/>
      </c>
      <c r="M10" s="37" t="str">
        <f>IF(AND('Project Plan'!$H11&lt;=M$3,'Project Plan'!$I11&gt;=M$2),"█","")</f>
        <v/>
      </c>
      <c r="N10" s="37" t="str">
        <f>IF(AND('Project Plan'!$H11&lt;=N$3,'Project Plan'!$I11&gt;=N$2),"█","")</f>
        <v/>
      </c>
      <c r="O10" s="37" t="str">
        <f>IF(AND('Project Plan'!$H11&lt;=O$3,'Project Plan'!$I11&gt;=O$2),"█","")</f>
        <v/>
      </c>
      <c r="P10" s="37" t="str">
        <f>IF(AND('Project Plan'!$H11&lt;=P$3,'Project Plan'!$I11&gt;=P$2),"█","")</f>
        <v/>
      </c>
    </row>
    <row r="11" spans="1:16">
      <c r="A11" s="36" t="str">
        <f>'Project Plan'!C12</f>
        <v>Real catalog migration</v>
      </c>
      <c r="B11" s="36" t="str">
        <f>'Project Plan'!E12</f>
        <v>Done</v>
      </c>
      <c r="C11" s="37" t="str">
        <f>IF(AND('Project Plan'!$H12&lt;=C$3,'Project Plan'!$I12&gt;=C$2),"█","")</f>
        <v>█</v>
      </c>
      <c r="D11" s="37" t="str">
        <f>IF(AND('Project Plan'!$H12&lt;=D$3,'Project Plan'!$I12&gt;=D$2),"█","")</f>
        <v/>
      </c>
      <c r="E11" s="37" t="str">
        <f>IF(AND('Project Plan'!$H12&lt;=E$3,'Project Plan'!$I12&gt;=E$2),"█","")</f>
        <v/>
      </c>
      <c r="F11" s="37" t="str">
        <f>IF(AND('Project Plan'!$H12&lt;=F$3,'Project Plan'!$I12&gt;=F$2),"█","")</f>
        <v/>
      </c>
      <c r="G11" s="37" t="str">
        <f>IF(AND('Project Plan'!$H12&lt;=G$3,'Project Plan'!$I12&gt;=G$2),"█","")</f>
        <v/>
      </c>
      <c r="H11" s="37" t="str">
        <f>IF(AND('Project Plan'!$H12&lt;=H$3,'Project Plan'!$I12&gt;=H$2),"█","")</f>
        <v/>
      </c>
      <c r="I11" s="37" t="str">
        <f>IF(AND('Project Plan'!$H12&lt;=I$3,'Project Plan'!$I12&gt;=I$2),"█","")</f>
        <v/>
      </c>
      <c r="J11" s="37" t="str">
        <f>IF(AND('Project Plan'!$H12&lt;=J$3,'Project Plan'!$I12&gt;=J$2),"█","")</f>
        <v/>
      </c>
      <c r="K11" s="37" t="str">
        <f>IF(AND('Project Plan'!$H12&lt;=K$3,'Project Plan'!$I12&gt;=K$2),"█","")</f>
        <v/>
      </c>
      <c r="L11" s="37" t="str">
        <f>IF(AND('Project Plan'!$H12&lt;=L$3,'Project Plan'!$I12&gt;=L$2),"█","")</f>
        <v/>
      </c>
      <c r="M11" s="37" t="str">
        <f>IF(AND('Project Plan'!$H12&lt;=M$3,'Project Plan'!$I12&gt;=M$2),"█","")</f>
        <v/>
      </c>
      <c r="N11" s="37" t="str">
        <f>IF(AND('Project Plan'!$H12&lt;=N$3,'Project Plan'!$I12&gt;=N$2),"█","")</f>
        <v/>
      </c>
      <c r="O11" s="37" t="str">
        <f>IF(AND('Project Plan'!$H12&lt;=O$3,'Project Plan'!$I12&gt;=O$2),"█","")</f>
        <v/>
      </c>
      <c r="P11" s="37" t="str">
        <f>IF(AND('Project Plan'!$H12&lt;=P$3,'Project Plan'!$I12&gt;=P$2),"█","")</f>
        <v/>
      </c>
    </row>
    <row r="12" spans="1:16">
      <c r="A12" s="36" t="str">
        <f>'Project Plan'!C13</f>
        <v>Order numbers</v>
      </c>
      <c r="B12" s="36" t="str">
        <f>'Project Plan'!E13</f>
        <v>Done</v>
      </c>
      <c r="C12" s="37" t="str">
        <f>IF(AND('Project Plan'!$H13&lt;=C$3,'Project Plan'!$I13&gt;=C$2),"█","")</f>
        <v/>
      </c>
      <c r="D12" s="37" t="str">
        <f>IF(AND('Project Plan'!$H13&lt;=D$3,'Project Plan'!$I13&gt;=D$2),"█","")</f>
        <v>█</v>
      </c>
      <c r="E12" s="37" t="str">
        <f>IF(AND('Project Plan'!$H13&lt;=E$3,'Project Plan'!$I13&gt;=E$2),"█","")</f>
        <v/>
      </c>
      <c r="F12" s="37" t="str">
        <f>IF(AND('Project Plan'!$H13&lt;=F$3,'Project Plan'!$I13&gt;=F$2),"█","")</f>
        <v/>
      </c>
      <c r="G12" s="37" t="str">
        <f>IF(AND('Project Plan'!$H13&lt;=G$3,'Project Plan'!$I13&gt;=G$2),"█","")</f>
        <v/>
      </c>
      <c r="H12" s="37" t="str">
        <f>IF(AND('Project Plan'!$H13&lt;=H$3,'Project Plan'!$I13&gt;=H$2),"█","")</f>
        <v/>
      </c>
      <c r="I12" s="37" t="str">
        <f>IF(AND('Project Plan'!$H13&lt;=I$3,'Project Plan'!$I13&gt;=I$2),"█","")</f>
        <v/>
      </c>
      <c r="J12" s="37" t="str">
        <f>IF(AND('Project Plan'!$H13&lt;=J$3,'Project Plan'!$I13&gt;=J$2),"█","")</f>
        <v/>
      </c>
      <c r="K12" s="37" t="str">
        <f>IF(AND('Project Plan'!$H13&lt;=K$3,'Project Plan'!$I13&gt;=K$2),"█","")</f>
        <v/>
      </c>
      <c r="L12" s="37" t="str">
        <f>IF(AND('Project Plan'!$H13&lt;=L$3,'Project Plan'!$I13&gt;=L$2),"█","")</f>
        <v/>
      </c>
      <c r="M12" s="37" t="str">
        <f>IF(AND('Project Plan'!$H13&lt;=M$3,'Project Plan'!$I13&gt;=M$2),"█","")</f>
        <v/>
      </c>
      <c r="N12" s="37" t="str">
        <f>IF(AND('Project Plan'!$H13&lt;=N$3,'Project Plan'!$I13&gt;=N$2),"█","")</f>
        <v/>
      </c>
      <c r="O12" s="37" t="str">
        <f>IF(AND('Project Plan'!$H13&lt;=O$3,'Project Plan'!$I13&gt;=O$2),"█","")</f>
        <v/>
      </c>
      <c r="P12" s="37" t="str">
        <f>IF(AND('Project Plan'!$H13&lt;=P$3,'Project Plan'!$I13&gt;=P$2),"█","")</f>
        <v/>
      </c>
    </row>
    <row r="13" spans="1:16">
      <c r="A13" s="36" t="str">
        <f>'Project Plan'!C14</f>
        <v>Tablet schema migrations</v>
      </c>
      <c r="B13" s="36" t="str">
        <f>'Project Plan'!E14</f>
        <v>Done</v>
      </c>
      <c r="C13" s="37" t="str">
        <f>IF(AND('Project Plan'!$H14&lt;=C$3,'Project Plan'!$I14&gt;=C$2),"█","")</f>
        <v/>
      </c>
      <c r="D13" s="37" t="str">
        <f>IF(AND('Project Plan'!$H14&lt;=D$3,'Project Plan'!$I14&gt;=D$2),"█","")</f>
        <v>█</v>
      </c>
      <c r="E13" s="37" t="str">
        <f>IF(AND('Project Plan'!$H14&lt;=E$3,'Project Plan'!$I14&gt;=E$2),"█","")</f>
        <v/>
      </c>
      <c r="F13" s="37" t="str">
        <f>IF(AND('Project Plan'!$H14&lt;=F$3,'Project Plan'!$I14&gt;=F$2),"█","")</f>
        <v/>
      </c>
      <c r="G13" s="37" t="str">
        <f>IF(AND('Project Plan'!$H14&lt;=G$3,'Project Plan'!$I14&gt;=G$2),"█","")</f>
        <v/>
      </c>
      <c r="H13" s="37" t="str">
        <f>IF(AND('Project Plan'!$H14&lt;=H$3,'Project Plan'!$I14&gt;=H$2),"█","")</f>
        <v/>
      </c>
      <c r="I13" s="37" t="str">
        <f>IF(AND('Project Plan'!$H14&lt;=I$3,'Project Plan'!$I14&gt;=I$2),"█","")</f>
        <v/>
      </c>
      <c r="J13" s="37" t="str">
        <f>IF(AND('Project Plan'!$H14&lt;=J$3,'Project Plan'!$I14&gt;=J$2),"█","")</f>
        <v/>
      </c>
      <c r="K13" s="37" t="str">
        <f>IF(AND('Project Plan'!$H14&lt;=K$3,'Project Plan'!$I14&gt;=K$2),"█","")</f>
        <v/>
      </c>
      <c r="L13" s="37" t="str">
        <f>IF(AND('Project Plan'!$H14&lt;=L$3,'Project Plan'!$I14&gt;=L$2),"█","")</f>
        <v/>
      </c>
      <c r="M13" s="37" t="str">
        <f>IF(AND('Project Plan'!$H14&lt;=M$3,'Project Plan'!$I14&gt;=M$2),"█","")</f>
        <v/>
      </c>
      <c r="N13" s="37" t="str">
        <f>IF(AND('Project Plan'!$H14&lt;=N$3,'Project Plan'!$I14&gt;=N$2),"█","")</f>
        <v/>
      </c>
      <c r="O13" s="37" t="str">
        <f>IF(AND('Project Plan'!$H14&lt;=O$3,'Project Plan'!$I14&gt;=O$2),"█","")</f>
        <v/>
      </c>
      <c r="P13" s="37" t="str">
        <f>IF(AND('Project Plan'!$H14&lt;=P$3,'Project Plan'!$I14&gt;=P$2),"█","")</f>
        <v/>
      </c>
    </row>
    <row r="14" spans="1:16">
      <c r="A14" s="36" t="str">
        <f>'Project Plan'!C15</f>
        <v>Product master</v>
      </c>
      <c r="B14" s="36" t="str">
        <f>'Project Plan'!E15</f>
        <v>Done</v>
      </c>
      <c r="C14" s="37" t="str">
        <f>IF(AND('Project Plan'!$H15&lt;=C$3,'Project Plan'!$I15&gt;=C$2),"█","")</f>
        <v/>
      </c>
      <c r="D14" s="37" t="str">
        <f>IF(AND('Project Plan'!$H15&lt;=D$3,'Project Plan'!$I15&gt;=D$2),"█","")</f>
        <v>█</v>
      </c>
      <c r="E14" s="37" t="str">
        <f>IF(AND('Project Plan'!$H15&lt;=E$3,'Project Plan'!$I15&gt;=E$2),"█","")</f>
        <v/>
      </c>
      <c r="F14" s="37" t="str">
        <f>IF(AND('Project Plan'!$H15&lt;=F$3,'Project Plan'!$I15&gt;=F$2),"█","")</f>
        <v/>
      </c>
      <c r="G14" s="37" t="str">
        <f>IF(AND('Project Plan'!$H15&lt;=G$3,'Project Plan'!$I15&gt;=G$2),"█","")</f>
        <v/>
      </c>
      <c r="H14" s="37" t="str">
        <f>IF(AND('Project Plan'!$H15&lt;=H$3,'Project Plan'!$I15&gt;=H$2),"█","")</f>
        <v/>
      </c>
      <c r="I14" s="37" t="str">
        <f>IF(AND('Project Plan'!$H15&lt;=I$3,'Project Plan'!$I15&gt;=I$2),"█","")</f>
        <v/>
      </c>
      <c r="J14" s="37" t="str">
        <f>IF(AND('Project Plan'!$H15&lt;=J$3,'Project Plan'!$I15&gt;=J$2),"█","")</f>
        <v/>
      </c>
      <c r="K14" s="37" t="str">
        <f>IF(AND('Project Plan'!$H15&lt;=K$3,'Project Plan'!$I15&gt;=K$2),"█","")</f>
        <v/>
      </c>
      <c r="L14" s="37" t="str">
        <f>IF(AND('Project Plan'!$H15&lt;=L$3,'Project Plan'!$I15&gt;=L$2),"█","")</f>
        <v/>
      </c>
      <c r="M14" s="37" t="str">
        <f>IF(AND('Project Plan'!$H15&lt;=M$3,'Project Plan'!$I15&gt;=M$2),"█","")</f>
        <v/>
      </c>
      <c r="N14" s="37" t="str">
        <f>IF(AND('Project Plan'!$H15&lt;=N$3,'Project Plan'!$I15&gt;=N$2),"█","")</f>
        <v/>
      </c>
      <c r="O14" s="37" t="str">
        <f>IF(AND('Project Plan'!$H15&lt;=O$3,'Project Plan'!$I15&gt;=O$2),"█","")</f>
        <v/>
      </c>
      <c r="P14" s="37" t="str">
        <f>IF(AND('Project Plan'!$H15&lt;=P$3,'Project Plan'!$I15&gt;=P$2),"█","")</f>
        <v/>
      </c>
    </row>
    <row r="15" spans="1:16">
      <c r="A15" s="36" t="str">
        <f>'Project Plan'!C16</f>
        <v>Menu layout editor</v>
      </c>
      <c r="B15" s="36" t="str">
        <f>'Project Plan'!E16</f>
        <v>Done</v>
      </c>
      <c r="C15" s="37" t="str">
        <f>IF(AND('Project Plan'!$H16&lt;=C$3,'Project Plan'!$I16&gt;=C$2),"█","")</f>
        <v/>
      </c>
      <c r="D15" s="37" t="str">
        <f>IF(AND('Project Plan'!$H16&lt;=D$3,'Project Plan'!$I16&gt;=D$2),"█","")</f>
        <v>█</v>
      </c>
      <c r="E15" s="37" t="str">
        <f>IF(AND('Project Plan'!$H16&lt;=E$3,'Project Plan'!$I16&gt;=E$2),"█","")</f>
        <v/>
      </c>
      <c r="F15" s="37" t="str">
        <f>IF(AND('Project Plan'!$H16&lt;=F$3,'Project Plan'!$I16&gt;=F$2),"█","")</f>
        <v/>
      </c>
      <c r="G15" s="37" t="str">
        <f>IF(AND('Project Plan'!$H16&lt;=G$3,'Project Plan'!$I16&gt;=G$2),"█","")</f>
        <v/>
      </c>
      <c r="H15" s="37" t="str">
        <f>IF(AND('Project Plan'!$H16&lt;=H$3,'Project Plan'!$I16&gt;=H$2),"█","")</f>
        <v/>
      </c>
      <c r="I15" s="37" t="str">
        <f>IF(AND('Project Plan'!$H16&lt;=I$3,'Project Plan'!$I16&gt;=I$2),"█","")</f>
        <v/>
      </c>
      <c r="J15" s="37" t="str">
        <f>IF(AND('Project Plan'!$H16&lt;=J$3,'Project Plan'!$I16&gt;=J$2),"█","")</f>
        <v/>
      </c>
      <c r="K15" s="37" t="str">
        <f>IF(AND('Project Plan'!$H16&lt;=K$3,'Project Plan'!$I16&gt;=K$2),"█","")</f>
        <v/>
      </c>
      <c r="L15" s="37" t="str">
        <f>IF(AND('Project Plan'!$H16&lt;=L$3,'Project Plan'!$I16&gt;=L$2),"█","")</f>
        <v/>
      </c>
      <c r="M15" s="37" t="str">
        <f>IF(AND('Project Plan'!$H16&lt;=M$3,'Project Plan'!$I16&gt;=M$2),"█","")</f>
        <v/>
      </c>
      <c r="N15" s="37" t="str">
        <f>IF(AND('Project Plan'!$H16&lt;=N$3,'Project Plan'!$I16&gt;=N$2),"█","")</f>
        <v/>
      </c>
      <c r="O15" s="37" t="str">
        <f>IF(AND('Project Plan'!$H16&lt;=O$3,'Project Plan'!$I16&gt;=O$2),"█","")</f>
        <v/>
      </c>
      <c r="P15" s="37" t="str">
        <f>IF(AND('Project Plan'!$H16&lt;=P$3,'Project Plan'!$I16&gt;=P$2),"█","")</f>
        <v/>
      </c>
    </row>
    <row r="16" spans="1:16">
      <c r="A16" s="36" t="str">
        <f>'Project Plan'!C17</f>
        <v>Modifiers on the till</v>
      </c>
      <c r="B16" s="36" t="str">
        <f>'Project Plan'!E17</f>
        <v>Done</v>
      </c>
      <c r="C16" s="37" t="str">
        <f>IF(AND('Project Plan'!$H17&lt;=C$3,'Project Plan'!$I17&gt;=C$2),"█","")</f>
        <v/>
      </c>
      <c r="D16" s="37" t="str">
        <f>IF(AND('Project Plan'!$H17&lt;=D$3,'Project Plan'!$I17&gt;=D$2),"█","")</f>
        <v>█</v>
      </c>
      <c r="E16" s="37" t="str">
        <f>IF(AND('Project Plan'!$H17&lt;=E$3,'Project Plan'!$I17&gt;=E$2),"█","")</f>
        <v/>
      </c>
      <c r="F16" s="37" t="str">
        <f>IF(AND('Project Plan'!$H17&lt;=F$3,'Project Plan'!$I17&gt;=F$2),"█","")</f>
        <v/>
      </c>
      <c r="G16" s="37" t="str">
        <f>IF(AND('Project Plan'!$H17&lt;=G$3,'Project Plan'!$I17&gt;=G$2),"█","")</f>
        <v/>
      </c>
      <c r="H16" s="37" t="str">
        <f>IF(AND('Project Plan'!$H17&lt;=H$3,'Project Plan'!$I17&gt;=H$2),"█","")</f>
        <v/>
      </c>
      <c r="I16" s="37" t="str">
        <f>IF(AND('Project Plan'!$H17&lt;=I$3,'Project Plan'!$I17&gt;=I$2),"█","")</f>
        <v/>
      </c>
      <c r="J16" s="37" t="str">
        <f>IF(AND('Project Plan'!$H17&lt;=J$3,'Project Plan'!$I17&gt;=J$2),"█","")</f>
        <v/>
      </c>
      <c r="K16" s="37" t="str">
        <f>IF(AND('Project Plan'!$H17&lt;=K$3,'Project Plan'!$I17&gt;=K$2),"█","")</f>
        <v/>
      </c>
      <c r="L16" s="37" t="str">
        <f>IF(AND('Project Plan'!$H17&lt;=L$3,'Project Plan'!$I17&gt;=L$2),"█","")</f>
        <v/>
      </c>
      <c r="M16" s="37" t="str">
        <f>IF(AND('Project Plan'!$H17&lt;=M$3,'Project Plan'!$I17&gt;=M$2),"█","")</f>
        <v/>
      </c>
      <c r="N16" s="37" t="str">
        <f>IF(AND('Project Plan'!$H17&lt;=N$3,'Project Plan'!$I17&gt;=N$2),"█","")</f>
        <v/>
      </c>
      <c r="O16" s="37" t="str">
        <f>IF(AND('Project Plan'!$H17&lt;=O$3,'Project Plan'!$I17&gt;=O$2),"█","")</f>
        <v/>
      </c>
      <c r="P16" s="37" t="str">
        <f>IF(AND('Project Plan'!$H17&lt;=P$3,'Project Plan'!$I17&gt;=P$2),"█","")</f>
        <v/>
      </c>
    </row>
    <row r="17" spans="1:16">
      <c r="A17" s="36" t="str">
        <f>'Project Plan'!C18</f>
        <v>Button pictures</v>
      </c>
      <c r="B17" s="36" t="str">
        <f>'Project Plan'!E18</f>
        <v>Done</v>
      </c>
      <c r="C17" s="37" t="str">
        <f>IF(AND('Project Plan'!$H18&lt;=C$3,'Project Plan'!$I18&gt;=C$2),"█","")</f>
        <v/>
      </c>
      <c r="D17" s="37" t="str">
        <f>IF(AND('Project Plan'!$H18&lt;=D$3,'Project Plan'!$I18&gt;=D$2),"█","")</f>
        <v>█</v>
      </c>
      <c r="E17" s="37" t="str">
        <f>IF(AND('Project Plan'!$H18&lt;=E$3,'Project Plan'!$I18&gt;=E$2),"█","")</f>
        <v/>
      </c>
      <c r="F17" s="37" t="str">
        <f>IF(AND('Project Plan'!$H18&lt;=F$3,'Project Plan'!$I18&gt;=F$2),"█","")</f>
        <v/>
      </c>
      <c r="G17" s="37" t="str">
        <f>IF(AND('Project Plan'!$H18&lt;=G$3,'Project Plan'!$I18&gt;=G$2),"█","")</f>
        <v/>
      </c>
      <c r="H17" s="37" t="str">
        <f>IF(AND('Project Plan'!$H18&lt;=H$3,'Project Plan'!$I18&gt;=H$2),"█","")</f>
        <v/>
      </c>
      <c r="I17" s="37" t="str">
        <f>IF(AND('Project Plan'!$H18&lt;=I$3,'Project Plan'!$I18&gt;=I$2),"█","")</f>
        <v/>
      </c>
      <c r="J17" s="37" t="str">
        <f>IF(AND('Project Plan'!$H18&lt;=J$3,'Project Plan'!$I18&gt;=J$2),"█","")</f>
        <v/>
      </c>
      <c r="K17" s="37" t="str">
        <f>IF(AND('Project Plan'!$H18&lt;=K$3,'Project Plan'!$I18&gt;=K$2),"█","")</f>
        <v/>
      </c>
      <c r="L17" s="37" t="str">
        <f>IF(AND('Project Plan'!$H18&lt;=L$3,'Project Plan'!$I18&gt;=L$2),"█","")</f>
        <v/>
      </c>
      <c r="M17" s="37" t="str">
        <f>IF(AND('Project Plan'!$H18&lt;=M$3,'Project Plan'!$I18&gt;=M$2),"█","")</f>
        <v/>
      </c>
      <c r="N17" s="37" t="str">
        <f>IF(AND('Project Plan'!$H18&lt;=N$3,'Project Plan'!$I18&gt;=N$2),"█","")</f>
        <v/>
      </c>
      <c r="O17" s="37" t="str">
        <f>IF(AND('Project Plan'!$H18&lt;=O$3,'Project Plan'!$I18&gt;=O$2),"█","")</f>
        <v/>
      </c>
      <c r="P17" s="37" t="str">
        <f>IF(AND('Project Plan'!$H18&lt;=P$3,'Project Plan'!$I18&gt;=P$2),"█","")</f>
        <v/>
      </c>
    </row>
    <row r="18" spans="1:16">
      <c r="A18" s="36" t="str">
        <f>'Project Plan'!C19</f>
        <v>Payment Mode on the till</v>
      </c>
      <c r="B18" s="36" t="str">
        <f>'Project Plan'!E19</f>
        <v>Done</v>
      </c>
      <c r="C18" s="37" t="str">
        <f>IF(AND('Project Plan'!$H19&lt;=C$3,'Project Plan'!$I19&gt;=C$2),"█","")</f>
        <v/>
      </c>
      <c r="D18" s="37" t="str">
        <f>IF(AND('Project Plan'!$H19&lt;=D$3,'Project Plan'!$I19&gt;=D$2),"█","")</f>
        <v>█</v>
      </c>
      <c r="E18" s="37" t="str">
        <f>IF(AND('Project Plan'!$H19&lt;=E$3,'Project Plan'!$I19&gt;=E$2),"█","")</f>
        <v/>
      </c>
      <c r="F18" s="37" t="str">
        <f>IF(AND('Project Plan'!$H19&lt;=F$3,'Project Plan'!$I19&gt;=F$2),"█","")</f>
        <v/>
      </c>
      <c r="G18" s="37" t="str">
        <f>IF(AND('Project Plan'!$H19&lt;=G$3,'Project Plan'!$I19&gt;=G$2),"█","")</f>
        <v/>
      </c>
      <c r="H18" s="37" t="str">
        <f>IF(AND('Project Plan'!$H19&lt;=H$3,'Project Plan'!$I19&gt;=H$2),"█","")</f>
        <v/>
      </c>
      <c r="I18" s="37" t="str">
        <f>IF(AND('Project Plan'!$H19&lt;=I$3,'Project Plan'!$I19&gt;=I$2),"█","")</f>
        <v/>
      </c>
      <c r="J18" s="37" t="str">
        <f>IF(AND('Project Plan'!$H19&lt;=J$3,'Project Plan'!$I19&gt;=J$2),"█","")</f>
        <v/>
      </c>
      <c r="K18" s="37" t="str">
        <f>IF(AND('Project Plan'!$H19&lt;=K$3,'Project Plan'!$I19&gt;=K$2),"█","")</f>
        <v/>
      </c>
      <c r="L18" s="37" t="str">
        <f>IF(AND('Project Plan'!$H19&lt;=L$3,'Project Plan'!$I19&gt;=L$2),"█","")</f>
        <v/>
      </c>
      <c r="M18" s="37" t="str">
        <f>IF(AND('Project Plan'!$H19&lt;=M$3,'Project Plan'!$I19&gt;=M$2),"█","")</f>
        <v/>
      </c>
      <c r="N18" s="37" t="str">
        <f>IF(AND('Project Plan'!$H19&lt;=N$3,'Project Plan'!$I19&gt;=N$2),"█","")</f>
        <v/>
      </c>
      <c r="O18" s="37" t="str">
        <f>IF(AND('Project Plan'!$H19&lt;=O$3,'Project Plan'!$I19&gt;=O$2),"█","")</f>
        <v/>
      </c>
      <c r="P18" s="37" t="str">
        <f>IF(AND('Project Plan'!$H19&lt;=P$3,'Project Plan'!$I19&gt;=P$2),"█","")</f>
        <v/>
      </c>
    </row>
    <row r="19" spans="1:16">
      <c r="A19" s="36" t="str">
        <f>'Project Plan'!C20</f>
        <v>Dine-in: floor and checks</v>
      </c>
      <c r="B19" s="36" t="str">
        <f>'Project Plan'!E20</f>
        <v>Done</v>
      </c>
      <c r="C19" s="37" t="str">
        <f>IF(AND('Project Plan'!$H20&lt;=C$3,'Project Plan'!$I20&gt;=C$2),"█","")</f>
        <v/>
      </c>
      <c r="D19" s="37" t="str">
        <f>IF(AND('Project Plan'!$H20&lt;=D$3,'Project Plan'!$I20&gt;=D$2),"█","")</f>
        <v>█</v>
      </c>
      <c r="E19" s="37" t="str">
        <f>IF(AND('Project Plan'!$H20&lt;=E$3,'Project Plan'!$I20&gt;=E$2),"█","")</f>
        <v/>
      </c>
      <c r="F19" s="37" t="str">
        <f>IF(AND('Project Plan'!$H20&lt;=F$3,'Project Plan'!$I20&gt;=F$2),"█","")</f>
        <v/>
      </c>
      <c r="G19" s="37" t="str">
        <f>IF(AND('Project Plan'!$H20&lt;=G$3,'Project Plan'!$I20&gt;=G$2),"█","")</f>
        <v/>
      </c>
      <c r="H19" s="37" t="str">
        <f>IF(AND('Project Plan'!$H20&lt;=H$3,'Project Plan'!$I20&gt;=H$2),"█","")</f>
        <v/>
      </c>
      <c r="I19" s="37" t="str">
        <f>IF(AND('Project Plan'!$H20&lt;=I$3,'Project Plan'!$I20&gt;=I$2),"█","")</f>
        <v/>
      </c>
      <c r="J19" s="37" t="str">
        <f>IF(AND('Project Plan'!$H20&lt;=J$3,'Project Plan'!$I20&gt;=J$2),"█","")</f>
        <v/>
      </c>
      <c r="K19" s="37" t="str">
        <f>IF(AND('Project Plan'!$H20&lt;=K$3,'Project Plan'!$I20&gt;=K$2),"█","")</f>
        <v/>
      </c>
      <c r="L19" s="37" t="str">
        <f>IF(AND('Project Plan'!$H20&lt;=L$3,'Project Plan'!$I20&gt;=L$2),"█","")</f>
        <v/>
      </c>
      <c r="M19" s="37" t="str">
        <f>IF(AND('Project Plan'!$H20&lt;=M$3,'Project Plan'!$I20&gt;=M$2),"█","")</f>
        <v/>
      </c>
      <c r="N19" s="37" t="str">
        <f>IF(AND('Project Plan'!$H20&lt;=N$3,'Project Plan'!$I20&gt;=N$2),"█","")</f>
        <v/>
      </c>
      <c r="O19" s="37" t="str">
        <f>IF(AND('Project Plan'!$H20&lt;=O$3,'Project Plan'!$I20&gt;=O$2),"█","")</f>
        <v/>
      </c>
      <c r="P19" s="37" t="str">
        <f>IF(AND('Project Plan'!$H20&lt;=P$3,'Project Plan'!$I20&gt;=P$2),"█","")</f>
        <v/>
      </c>
    </row>
    <row r="20" spans="1:16">
      <c r="A20" s="36" t="str">
        <f>'Project Plan'!C21</f>
        <v>Tables pushed together</v>
      </c>
      <c r="B20" s="36" t="str">
        <f>'Project Plan'!E21</f>
        <v>Done</v>
      </c>
      <c r="C20" s="37" t="str">
        <f>IF(AND('Project Plan'!$H21&lt;=C$3,'Project Plan'!$I21&gt;=C$2),"█","")</f>
        <v/>
      </c>
      <c r="D20" s="37" t="str">
        <f>IF(AND('Project Plan'!$H21&lt;=D$3,'Project Plan'!$I21&gt;=D$2),"█","")</f>
        <v>█</v>
      </c>
      <c r="E20" s="37" t="str">
        <f>IF(AND('Project Plan'!$H21&lt;=E$3,'Project Plan'!$I21&gt;=E$2),"█","")</f>
        <v/>
      </c>
      <c r="F20" s="37" t="str">
        <f>IF(AND('Project Plan'!$H21&lt;=F$3,'Project Plan'!$I21&gt;=F$2),"█","")</f>
        <v/>
      </c>
      <c r="G20" s="37" t="str">
        <f>IF(AND('Project Plan'!$H21&lt;=G$3,'Project Plan'!$I21&gt;=G$2),"█","")</f>
        <v/>
      </c>
      <c r="H20" s="37" t="str">
        <f>IF(AND('Project Plan'!$H21&lt;=H$3,'Project Plan'!$I21&gt;=H$2),"█","")</f>
        <v/>
      </c>
      <c r="I20" s="37" t="str">
        <f>IF(AND('Project Plan'!$H21&lt;=I$3,'Project Plan'!$I21&gt;=I$2),"█","")</f>
        <v/>
      </c>
      <c r="J20" s="37" t="str">
        <f>IF(AND('Project Plan'!$H21&lt;=J$3,'Project Plan'!$I21&gt;=J$2),"█","")</f>
        <v/>
      </c>
      <c r="K20" s="37" t="str">
        <f>IF(AND('Project Plan'!$H21&lt;=K$3,'Project Plan'!$I21&gt;=K$2),"█","")</f>
        <v/>
      </c>
      <c r="L20" s="37" t="str">
        <f>IF(AND('Project Plan'!$H21&lt;=L$3,'Project Plan'!$I21&gt;=L$2),"█","")</f>
        <v/>
      </c>
      <c r="M20" s="37" t="str">
        <f>IF(AND('Project Plan'!$H21&lt;=M$3,'Project Plan'!$I21&gt;=M$2),"█","")</f>
        <v/>
      </c>
      <c r="N20" s="37" t="str">
        <f>IF(AND('Project Plan'!$H21&lt;=N$3,'Project Plan'!$I21&gt;=N$2),"█","")</f>
        <v/>
      </c>
      <c r="O20" s="37" t="str">
        <f>IF(AND('Project Plan'!$H21&lt;=O$3,'Project Plan'!$I21&gt;=O$2),"█","")</f>
        <v/>
      </c>
      <c r="P20" s="37" t="str">
        <f>IF(AND('Project Plan'!$H21&lt;=P$3,'Project Plan'!$I21&gt;=P$2),"█","")</f>
        <v/>
      </c>
    </row>
    <row r="21" spans="1:16">
      <c r="A21" s="36" t="str">
        <f>'Project Plan'!C22</f>
        <v>Floor areas</v>
      </c>
      <c r="B21" s="36" t="str">
        <f>'Project Plan'!E22</f>
        <v>Done</v>
      </c>
      <c r="C21" s="37" t="str">
        <f>IF(AND('Project Plan'!$H22&lt;=C$3,'Project Plan'!$I22&gt;=C$2),"█","")</f>
        <v/>
      </c>
      <c r="D21" s="37" t="str">
        <f>IF(AND('Project Plan'!$H22&lt;=D$3,'Project Plan'!$I22&gt;=D$2),"█","")</f>
        <v>█</v>
      </c>
      <c r="E21" s="37" t="str">
        <f>IF(AND('Project Plan'!$H22&lt;=E$3,'Project Plan'!$I22&gt;=E$2),"█","")</f>
        <v/>
      </c>
      <c r="F21" s="37" t="str">
        <f>IF(AND('Project Plan'!$H22&lt;=F$3,'Project Plan'!$I22&gt;=F$2),"█","")</f>
        <v/>
      </c>
      <c r="G21" s="37" t="str">
        <f>IF(AND('Project Plan'!$H22&lt;=G$3,'Project Plan'!$I22&gt;=G$2),"█","")</f>
        <v/>
      </c>
      <c r="H21" s="37" t="str">
        <f>IF(AND('Project Plan'!$H22&lt;=H$3,'Project Plan'!$I22&gt;=H$2),"█","")</f>
        <v/>
      </c>
      <c r="I21" s="37" t="str">
        <f>IF(AND('Project Plan'!$H22&lt;=I$3,'Project Plan'!$I22&gt;=I$2),"█","")</f>
        <v/>
      </c>
      <c r="J21" s="37" t="str">
        <f>IF(AND('Project Plan'!$H22&lt;=J$3,'Project Plan'!$I22&gt;=J$2),"█","")</f>
        <v/>
      </c>
      <c r="K21" s="37" t="str">
        <f>IF(AND('Project Plan'!$H22&lt;=K$3,'Project Plan'!$I22&gt;=K$2),"█","")</f>
        <v/>
      </c>
      <c r="L21" s="37" t="str">
        <f>IF(AND('Project Plan'!$H22&lt;=L$3,'Project Plan'!$I22&gt;=L$2),"█","")</f>
        <v/>
      </c>
      <c r="M21" s="37" t="str">
        <f>IF(AND('Project Plan'!$H22&lt;=M$3,'Project Plan'!$I22&gt;=M$2),"█","")</f>
        <v/>
      </c>
      <c r="N21" s="37" t="str">
        <f>IF(AND('Project Plan'!$H22&lt;=N$3,'Project Plan'!$I22&gt;=N$2),"█","")</f>
        <v/>
      </c>
      <c r="O21" s="37" t="str">
        <f>IF(AND('Project Plan'!$H22&lt;=O$3,'Project Plan'!$I22&gt;=O$2),"█","")</f>
        <v/>
      </c>
      <c r="P21" s="37" t="str">
        <f>IF(AND('Project Plan'!$H22&lt;=P$3,'Project Plan'!$I22&gt;=P$2),"█","")</f>
        <v/>
      </c>
    </row>
    <row r="22" spans="1:16">
      <c r="A22" s="36" t="str">
        <f>'Project Plan'!C23</f>
        <v>Split the check between guests</v>
      </c>
      <c r="B22" s="36" t="str">
        <f>'Project Plan'!E23</f>
        <v>Done</v>
      </c>
      <c r="C22" s="37" t="str">
        <f>IF(AND('Project Plan'!$H23&lt;=C$3,'Project Plan'!$I23&gt;=C$2),"█","")</f>
        <v/>
      </c>
      <c r="D22" s="37" t="str">
        <f>IF(AND('Project Plan'!$H23&lt;=D$3,'Project Plan'!$I23&gt;=D$2),"█","")</f>
        <v>█</v>
      </c>
      <c r="E22" s="37" t="str">
        <f>IF(AND('Project Plan'!$H23&lt;=E$3,'Project Plan'!$I23&gt;=E$2),"█","")</f>
        <v/>
      </c>
      <c r="F22" s="37" t="str">
        <f>IF(AND('Project Plan'!$H23&lt;=F$3,'Project Plan'!$I23&gt;=F$2),"█","")</f>
        <v/>
      </c>
      <c r="G22" s="37" t="str">
        <f>IF(AND('Project Plan'!$H23&lt;=G$3,'Project Plan'!$I23&gt;=G$2),"█","")</f>
        <v/>
      </c>
      <c r="H22" s="37" t="str">
        <f>IF(AND('Project Plan'!$H23&lt;=H$3,'Project Plan'!$I23&gt;=H$2),"█","")</f>
        <v/>
      </c>
      <c r="I22" s="37" t="str">
        <f>IF(AND('Project Plan'!$H23&lt;=I$3,'Project Plan'!$I23&gt;=I$2),"█","")</f>
        <v/>
      </c>
      <c r="J22" s="37" t="str">
        <f>IF(AND('Project Plan'!$H23&lt;=J$3,'Project Plan'!$I23&gt;=J$2),"█","")</f>
        <v/>
      </c>
      <c r="K22" s="37" t="str">
        <f>IF(AND('Project Plan'!$H23&lt;=K$3,'Project Plan'!$I23&gt;=K$2),"█","")</f>
        <v/>
      </c>
      <c r="L22" s="37" t="str">
        <f>IF(AND('Project Plan'!$H23&lt;=L$3,'Project Plan'!$I23&gt;=L$2),"█","")</f>
        <v/>
      </c>
      <c r="M22" s="37" t="str">
        <f>IF(AND('Project Plan'!$H23&lt;=M$3,'Project Plan'!$I23&gt;=M$2),"█","")</f>
        <v/>
      </c>
      <c r="N22" s="37" t="str">
        <f>IF(AND('Project Plan'!$H23&lt;=N$3,'Project Plan'!$I23&gt;=N$2),"█","")</f>
        <v/>
      </c>
      <c r="O22" s="37" t="str">
        <f>IF(AND('Project Plan'!$H23&lt;=O$3,'Project Plan'!$I23&gt;=O$2),"█","")</f>
        <v/>
      </c>
      <c r="P22" s="37" t="str">
        <f>IF(AND('Project Plan'!$H23&lt;=P$3,'Project Plan'!$I23&gt;=P$2),"█","")</f>
        <v/>
      </c>
    </row>
    <row r="23" spans="1:16">
      <c r="A23" s="36" t="str">
        <f>'Project Plan'!C24</f>
        <v>Table master</v>
      </c>
      <c r="B23" s="36" t="str">
        <f>'Project Plan'!E24</f>
        <v>Done</v>
      </c>
      <c r="C23" s="37" t="str">
        <f>IF(AND('Project Plan'!$H24&lt;=C$3,'Project Plan'!$I24&gt;=C$2),"█","")</f>
        <v/>
      </c>
      <c r="D23" s="37" t="str">
        <f>IF(AND('Project Plan'!$H24&lt;=D$3,'Project Plan'!$I24&gt;=D$2),"█","")</f>
        <v>█</v>
      </c>
      <c r="E23" s="37" t="str">
        <f>IF(AND('Project Plan'!$H24&lt;=E$3,'Project Plan'!$I24&gt;=E$2),"█","")</f>
        <v/>
      </c>
      <c r="F23" s="37" t="str">
        <f>IF(AND('Project Plan'!$H24&lt;=F$3,'Project Plan'!$I24&gt;=F$2),"█","")</f>
        <v/>
      </c>
      <c r="G23" s="37" t="str">
        <f>IF(AND('Project Plan'!$H24&lt;=G$3,'Project Plan'!$I24&gt;=G$2),"█","")</f>
        <v/>
      </c>
      <c r="H23" s="37" t="str">
        <f>IF(AND('Project Plan'!$H24&lt;=H$3,'Project Plan'!$I24&gt;=H$2),"█","")</f>
        <v/>
      </c>
      <c r="I23" s="37" t="str">
        <f>IF(AND('Project Plan'!$H24&lt;=I$3,'Project Plan'!$I24&gt;=I$2),"█","")</f>
        <v/>
      </c>
      <c r="J23" s="37" t="str">
        <f>IF(AND('Project Plan'!$H24&lt;=J$3,'Project Plan'!$I24&gt;=J$2),"█","")</f>
        <v/>
      </c>
      <c r="K23" s="37" t="str">
        <f>IF(AND('Project Plan'!$H24&lt;=K$3,'Project Plan'!$I24&gt;=K$2),"█","")</f>
        <v/>
      </c>
      <c r="L23" s="37" t="str">
        <f>IF(AND('Project Plan'!$H24&lt;=L$3,'Project Plan'!$I24&gt;=L$2),"█","")</f>
        <v/>
      </c>
      <c r="M23" s="37" t="str">
        <f>IF(AND('Project Plan'!$H24&lt;=M$3,'Project Plan'!$I24&gt;=M$2),"█","")</f>
        <v/>
      </c>
      <c r="N23" s="37" t="str">
        <f>IF(AND('Project Plan'!$H24&lt;=N$3,'Project Plan'!$I24&gt;=N$2),"█","")</f>
        <v/>
      </c>
      <c r="O23" s="37" t="str">
        <f>IF(AND('Project Plan'!$H24&lt;=O$3,'Project Plan'!$I24&gt;=O$2),"█","")</f>
        <v/>
      </c>
      <c r="P23" s="37" t="str">
        <f>IF(AND('Project Plan'!$H24&lt;=P$3,'Project Plan'!$I24&gt;=P$2),"█","")</f>
        <v/>
      </c>
    </row>
    <row r="24" spans="1:16">
      <c r="A24" s="36" t="str">
        <f>'Project Plan'!C25</f>
        <v>Branding on till and receipt</v>
      </c>
      <c r="B24" s="36" t="str">
        <f>'Project Plan'!E25</f>
        <v>Done</v>
      </c>
      <c r="C24" s="37" t="str">
        <f>IF(AND('Project Plan'!$H25&lt;=C$3,'Project Plan'!$I25&gt;=C$2),"█","")</f>
        <v/>
      </c>
      <c r="D24" s="37" t="str">
        <f>IF(AND('Project Plan'!$H25&lt;=D$3,'Project Plan'!$I25&gt;=D$2),"█","")</f>
        <v>█</v>
      </c>
      <c r="E24" s="37" t="str">
        <f>IF(AND('Project Plan'!$H25&lt;=E$3,'Project Plan'!$I25&gt;=E$2),"█","")</f>
        <v/>
      </c>
      <c r="F24" s="37" t="str">
        <f>IF(AND('Project Plan'!$H25&lt;=F$3,'Project Plan'!$I25&gt;=F$2),"█","")</f>
        <v/>
      </c>
      <c r="G24" s="37" t="str">
        <f>IF(AND('Project Plan'!$H25&lt;=G$3,'Project Plan'!$I25&gt;=G$2),"█","")</f>
        <v/>
      </c>
      <c r="H24" s="37" t="str">
        <f>IF(AND('Project Plan'!$H25&lt;=H$3,'Project Plan'!$I25&gt;=H$2),"█","")</f>
        <v/>
      </c>
      <c r="I24" s="37" t="str">
        <f>IF(AND('Project Plan'!$H25&lt;=I$3,'Project Plan'!$I25&gt;=I$2),"█","")</f>
        <v/>
      </c>
      <c r="J24" s="37" t="str">
        <f>IF(AND('Project Plan'!$H25&lt;=J$3,'Project Plan'!$I25&gt;=J$2),"█","")</f>
        <v/>
      </c>
      <c r="K24" s="37" t="str">
        <f>IF(AND('Project Plan'!$H25&lt;=K$3,'Project Plan'!$I25&gt;=K$2),"█","")</f>
        <v/>
      </c>
      <c r="L24" s="37" t="str">
        <f>IF(AND('Project Plan'!$H25&lt;=L$3,'Project Plan'!$I25&gt;=L$2),"█","")</f>
        <v/>
      </c>
      <c r="M24" s="37" t="str">
        <f>IF(AND('Project Plan'!$H25&lt;=M$3,'Project Plan'!$I25&gt;=M$2),"█","")</f>
        <v/>
      </c>
      <c r="N24" s="37" t="str">
        <f>IF(AND('Project Plan'!$H25&lt;=N$3,'Project Plan'!$I25&gt;=N$2),"█","")</f>
        <v/>
      </c>
      <c r="O24" s="37" t="str">
        <f>IF(AND('Project Plan'!$H25&lt;=O$3,'Project Plan'!$I25&gt;=O$2),"█","")</f>
        <v/>
      </c>
      <c r="P24" s="37" t="str">
        <f>IF(AND('Project Plan'!$H25&lt;=P$3,'Project Plan'!$I25&gt;=P$2),"█","")</f>
        <v/>
      </c>
    </row>
    <row r="25" spans="1:16">
      <c r="A25" s="36" t="str">
        <f>'Project Plan'!C26</f>
        <v>Receipt on screen</v>
      </c>
      <c r="B25" s="36" t="str">
        <f>'Project Plan'!E26</f>
        <v>Done</v>
      </c>
      <c r="C25" s="37" t="str">
        <f>IF(AND('Project Plan'!$H26&lt;=C$3,'Project Plan'!$I26&gt;=C$2),"█","")</f>
        <v/>
      </c>
      <c r="D25" s="37" t="str">
        <f>IF(AND('Project Plan'!$H26&lt;=D$3,'Project Plan'!$I26&gt;=D$2),"█","")</f>
        <v>█</v>
      </c>
      <c r="E25" s="37" t="str">
        <f>IF(AND('Project Plan'!$H26&lt;=E$3,'Project Plan'!$I26&gt;=E$2),"█","")</f>
        <v/>
      </c>
      <c r="F25" s="37" t="str">
        <f>IF(AND('Project Plan'!$H26&lt;=F$3,'Project Plan'!$I26&gt;=F$2),"█","")</f>
        <v/>
      </c>
      <c r="G25" s="37" t="str">
        <f>IF(AND('Project Plan'!$H26&lt;=G$3,'Project Plan'!$I26&gt;=G$2),"█","")</f>
        <v/>
      </c>
      <c r="H25" s="37" t="str">
        <f>IF(AND('Project Plan'!$H26&lt;=H$3,'Project Plan'!$I26&gt;=H$2),"█","")</f>
        <v/>
      </c>
      <c r="I25" s="37" t="str">
        <f>IF(AND('Project Plan'!$H26&lt;=I$3,'Project Plan'!$I26&gt;=I$2),"█","")</f>
        <v/>
      </c>
      <c r="J25" s="37" t="str">
        <f>IF(AND('Project Plan'!$H26&lt;=J$3,'Project Plan'!$I26&gt;=J$2),"█","")</f>
        <v/>
      </c>
      <c r="K25" s="37" t="str">
        <f>IF(AND('Project Plan'!$H26&lt;=K$3,'Project Plan'!$I26&gt;=K$2),"█","")</f>
        <v/>
      </c>
      <c r="L25" s="37" t="str">
        <f>IF(AND('Project Plan'!$H26&lt;=L$3,'Project Plan'!$I26&gt;=L$2),"█","")</f>
        <v/>
      </c>
      <c r="M25" s="37" t="str">
        <f>IF(AND('Project Plan'!$H26&lt;=M$3,'Project Plan'!$I26&gt;=M$2),"█","")</f>
        <v/>
      </c>
      <c r="N25" s="37" t="str">
        <f>IF(AND('Project Plan'!$H26&lt;=N$3,'Project Plan'!$I26&gt;=N$2),"█","")</f>
        <v/>
      </c>
      <c r="O25" s="37" t="str">
        <f>IF(AND('Project Plan'!$H26&lt;=O$3,'Project Plan'!$I26&gt;=O$2),"█","")</f>
        <v/>
      </c>
      <c r="P25" s="37" t="str">
        <f>IF(AND('Project Plan'!$H26&lt;=P$3,'Project Plan'!$I26&gt;=P$2),"█","")</f>
        <v/>
      </c>
    </row>
    <row r="26" spans="1:16">
      <c r="A26" s="36" t="str">
        <f>'Project Plan'!C27</f>
        <v>Employee Setup</v>
      </c>
      <c r="B26" s="36" t="str">
        <f>'Project Plan'!E27</f>
        <v>In progress</v>
      </c>
      <c r="C26" s="37" t="str">
        <f>IF(AND('Project Plan'!$H27&lt;=C$3,'Project Plan'!$I27&gt;=C$2),"█","")</f>
        <v/>
      </c>
      <c r="D26" s="37" t="str">
        <f>IF(AND('Project Plan'!$H27&lt;=D$3,'Project Plan'!$I27&gt;=D$2),"█","")</f>
        <v>█</v>
      </c>
      <c r="E26" s="37" t="str">
        <f>IF(AND('Project Plan'!$H27&lt;=E$3,'Project Plan'!$I27&gt;=E$2),"█","")</f>
        <v/>
      </c>
      <c r="F26" s="37" t="str">
        <f>IF(AND('Project Plan'!$H27&lt;=F$3,'Project Plan'!$I27&gt;=F$2),"█","")</f>
        <v/>
      </c>
      <c r="G26" s="37" t="str">
        <f>IF(AND('Project Plan'!$H27&lt;=G$3,'Project Plan'!$I27&gt;=G$2),"█","")</f>
        <v/>
      </c>
      <c r="H26" s="37" t="str">
        <f>IF(AND('Project Plan'!$H27&lt;=H$3,'Project Plan'!$I27&gt;=H$2),"█","")</f>
        <v/>
      </c>
      <c r="I26" s="37" t="str">
        <f>IF(AND('Project Plan'!$H27&lt;=I$3,'Project Plan'!$I27&gt;=I$2),"█","")</f>
        <v/>
      </c>
      <c r="J26" s="37" t="str">
        <f>IF(AND('Project Plan'!$H27&lt;=J$3,'Project Plan'!$I27&gt;=J$2),"█","")</f>
        <v/>
      </c>
      <c r="K26" s="37" t="str">
        <f>IF(AND('Project Plan'!$H27&lt;=K$3,'Project Plan'!$I27&gt;=K$2),"█","")</f>
        <v/>
      </c>
      <c r="L26" s="37" t="str">
        <f>IF(AND('Project Plan'!$H27&lt;=L$3,'Project Plan'!$I27&gt;=L$2),"█","")</f>
        <v/>
      </c>
      <c r="M26" s="37" t="str">
        <f>IF(AND('Project Plan'!$H27&lt;=M$3,'Project Plan'!$I27&gt;=M$2),"█","")</f>
        <v/>
      </c>
      <c r="N26" s="37" t="str">
        <f>IF(AND('Project Plan'!$H27&lt;=N$3,'Project Plan'!$I27&gt;=N$2),"█","")</f>
        <v/>
      </c>
      <c r="O26" s="37" t="str">
        <f>IF(AND('Project Plan'!$H27&lt;=O$3,'Project Plan'!$I27&gt;=O$2),"█","")</f>
        <v/>
      </c>
      <c r="P26" s="37" t="str">
        <f>IF(AND('Project Plan'!$H27&lt;=P$3,'Project Plan'!$I27&gt;=P$2),"█","")</f>
        <v/>
      </c>
    </row>
    <row r="27" spans="1:16">
      <c r="A27" s="36" t="str">
        <f>'Project Plan'!C28</f>
        <v>Security Setup</v>
      </c>
      <c r="B27" s="36" t="str">
        <f>'Project Plan'!E28</f>
        <v>In progress</v>
      </c>
      <c r="C27" s="37" t="str">
        <f>IF(AND('Project Plan'!$H28&lt;=C$3,'Project Plan'!$I28&gt;=C$2),"█","")</f>
        <v/>
      </c>
      <c r="D27" s="37" t="str">
        <f>IF(AND('Project Plan'!$H28&lt;=D$3,'Project Plan'!$I28&gt;=D$2),"█","")</f>
        <v>█</v>
      </c>
      <c r="E27" s="37" t="str">
        <f>IF(AND('Project Plan'!$H28&lt;=E$3,'Project Plan'!$I28&gt;=E$2),"█","")</f>
        <v/>
      </c>
      <c r="F27" s="37" t="str">
        <f>IF(AND('Project Plan'!$H28&lt;=F$3,'Project Plan'!$I28&gt;=F$2),"█","")</f>
        <v/>
      </c>
      <c r="G27" s="37" t="str">
        <f>IF(AND('Project Plan'!$H28&lt;=G$3,'Project Plan'!$I28&gt;=G$2),"█","")</f>
        <v/>
      </c>
      <c r="H27" s="37" t="str">
        <f>IF(AND('Project Plan'!$H28&lt;=H$3,'Project Plan'!$I28&gt;=H$2),"█","")</f>
        <v/>
      </c>
      <c r="I27" s="37" t="str">
        <f>IF(AND('Project Plan'!$H28&lt;=I$3,'Project Plan'!$I28&gt;=I$2),"█","")</f>
        <v/>
      </c>
      <c r="J27" s="37" t="str">
        <f>IF(AND('Project Plan'!$H28&lt;=J$3,'Project Plan'!$I28&gt;=J$2),"█","")</f>
        <v/>
      </c>
      <c r="K27" s="37" t="str">
        <f>IF(AND('Project Plan'!$H28&lt;=K$3,'Project Plan'!$I28&gt;=K$2),"█","")</f>
        <v/>
      </c>
      <c r="L27" s="37" t="str">
        <f>IF(AND('Project Plan'!$H28&lt;=L$3,'Project Plan'!$I28&gt;=L$2),"█","")</f>
        <v/>
      </c>
      <c r="M27" s="37" t="str">
        <f>IF(AND('Project Plan'!$H28&lt;=M$3,'Project Plan'!$I28&gt;=M$2),"█","")</f>
        <v/>
      </c>
      <c r="N27" s="37" t="str">
        <f>IF(AND('Project Plan'!$H28&lt;=N$3,'Project Plan'!$I28&gt;=N$2),"█","")</f>
        <v/>
      </c>
      <c r="O27" s="37" t="str">
        <f>IF(AND('Project Plan'!$H28&lt;=O$3,'Project Plan'!$I28&gt;=O$2),"█","")</f>
        <v/>
      </c>
      <c r="P27" s="37" t="str">
        <f>IF(AND('Project Plan'!$H28&lt;=P$3,'Project Plan'!$I28&gt;=P$2),"█","")</f>
        <v/>
      </c>
    </row>
    <row r="28" spans="1:16">
      <c r="A28" s="36" t="str">
        <f>'Project Plan'!C29</f>
        <v>Payment Mode Setup</v>
      </c>
      <c r="B28" s="36" t="str">
        <f>'Project Plan'!E29</f>
        <v>In progress</v>
      </c>
      <c r="C28" s="37" t="str">
        <f>IF(AND('Project Plan'!$H29&lt;=C$3,'Project Plan'!$I29&gt;=C$2),"█","")</f>
        <v/>
      </c>
      <c r="D28" s="37" t="str">
        <f>IF(AND('Project Plan'!$H29&lt;=D$3,'Project Plan'!$I29&gt;=D$2),"█","")</f>
        <v>█</v>
      </c>
      <c r="E28" s="37" t="str">
        <f>IF(AND('Project Plan'!$H29&lt;=E$3,'Project Plan'!$I29&gt;=E$2),"█","")</f>
        <v/>
      </c>
      <c r="F28" s="37" t="str">
        <f>IF(AND('Project Plan'!$H29&lt;=F$3,'Project Plan'!$I29&gt;=F$2),"█","")</f>
        <v/>
      </c>
      <c r="G28" s="37" t="str">
        <f>IF(AND('Project Plan'!$H29&lt;=G$3,'Project Plan'!$I29&gt;=G$2),"█","")</f>
        <v/>
      </c>
      <c r="H28" s="37" t="str">
        <f>IF(AND('Project Plan'!$H29&lt;=H$3,'Project Plan'!$I29&gt;=H$2),"█","")</f>
        <v/>
      </c>
      <c r="I28" s="37" t="str">
        <f>IF(AND('Project Plan'!$H29&lt;=I$3,'Project Plan'!$I29&gt;=I$2),"█","")</f>
        <v/>
      </c>
      <c r="J28" s="37" t="str">
        <f>IF(AND('Project Plan'!$H29&lt;=J$3,'Project Plan'!$I29&gt;=J$2),"█","")</f>
        <v/>
      </c>
      <c r="K28" s="37" t="str">
        <f>IF(AND('Project Plan'!$H29&lt;=K$3,'Project Plan'!$I29&gt;=K$2),"█","")</f>
        <v/>
      </c>
      <c r="L28" s="37" t="str">
        <f>IF(AND('Project Plan'!$H29&lt;=L$3,'Project Plan'!$I29&gt;=L$2),"█","")</f>
        <v/>
      </c>
      <c r="M28" s="37" t="str">
        <f>IF(AND('Project Plan'!$H29&lt;=M$3,'Project Plan'!$I29&gt;=M$2),"█","")</f>
        <v/>
      </c>
      <c r="N28" s="37" t="str">
        <f>IF(AND('Project Plan'!$H29&lt;=N$3,'Project Plan'!$I29&gt;=N$2),"█","")</f>
        <v/>
      </c>
      <c r="O28" s="37" t="str">
        <f>IF(AND('Project Plan'!$H29&lt;=O$3,'Project Plan'!$I29&gt;=O$2),"█","")</f>
        <v/>
      </c>
      <c r="P28" s="37" t="str">
        <f>IF(AND('Project Plan'!$H29&lt;=P$3,'Project Plan'!$I29&gt;=P$2),"█","")</f>
        <v/>
      </c>
    </row>
    <row r="29" spans="1:16">
      <c r="A29" s="36" t="str">
        <f>'Project Plan'!C30</f>
        <v>Sales Type Setup</v>
      </c>
      <c r="B29" s="36" t="str">
        <f>'Project Plan'!E30</f>
        <v>In progress</v>
      </c>
      <c r="C29" s="37" t="str">
        <f>IF(AND('Project Plan'!$H30&lt;=C$3,'Project Plan'!$I30&gt;=C$2),"█","")</f>
        <v/>
      </c>
      <c r="D29" s="37" t="str">
        <f>IF(AND('Project Plan'!$H30&lt;=D$3,'Project Plan'!$I30&gt;=D$2),"█","")</f>
        <v>█</v>
      </c>
      <c r="E29" s="37" t="str">
        <f>IF(AND('Project Plan'!$H30&lt;=E$3,'Project Plan'!$I30&gt;=E$2),"█","")</f>
        <v/>
      </c>
      <c r="F29" s="37" t="str">
        <f>IF(AND('Project Plan'!$H30&lt;=F$3,'Project Plan'!$I30&gt;=F$2),"█","")</f>
        <v/>
      </c>
      <c r="G29" s="37" t="str">
        <f>IF(AND('Project Plan'!$H30&lt;=G$3,'Project Plan'!$I30&gt;=G$2),"█","")</f>
        <v/>
      </c>
      <c r="H29" s="37" t="str">
        <f>IF(AND('Project Plan'!$H30&lt;=H$3,'Project Plan'!$I30&gt;=H$2),"█","")</f>
        <v/>
      </c>
      <c r="I29" s="37" t="str">
        <f>IF(AND('Project Plan'!$H30&lt;=I$3,'Project Plan'!$I30&gt;=I$2),"█","")</f>
        <v/>
      </c>
      <c r="J29" s="37" t="str">
        <f>IF(AND('Project Plan'!$H30&lt;=J$3,'Project Plan'!$I30&gt;=J$2),"█","")</f>
        <v/>
      </c>
      <c r="K29" s="37" t="str">
        <f>IF(AND('Project Plan'!$H30&lt;=K$3,'Project Plan'!$I30&gt;=K$2),"█","")</f>
        <v/>
      </c>
      <c r="L29" s="37" t="str">
        <f>IF(AND('Project Plan'!$H30&lt;=L$3,'Project Plan'!$I30&gt;=L$2),"█","")</f>
        <v/>
      </c>
      <c r="M29" s="37" t="str">
        <f>IF(AND('Project Plan'!$H30&lt;=M$3,'Project Plan'!$I30&gt;=M$2),"█","")</f>
        <v/>
      </c>
      <c r="N29" s="37" t="str">
        <f>IF(AND('Project Plan'!$H30&lt;=N$3,'Project Plan'!$I30&gt;=N$2),"█","")</f>
        <v/>
      </c>
      <c r="O29" s="37" t="str">
        <f>IF(AND('Project Plan'!$H30&lt;=O$3,'Project Plan'!$I30&gt;=O$2),"█","")</f>
        <v/>
      </c>
      <c r="P29" s="37" t="str">
        <f>IF(AND('Project Plan'!$H30&lt;=P$3,'Project Plan'!$I30&gt;=P$2),"█","")</f>
        <v/>
      </c>
    </row>
    <row r="30" spans="1:16">
      <c r="A30" s="36" t="str">
        <f>'Project Plan'!C31</f>
        <v>Modifiers Setup</v>
      </c>
      <c r="B30" s="36" t="str">
        <f>'Project Plan'!E31</f>
        <v>In progress</v>
      </c>
      <c r="C30" s="37" t="str">
        <f>IF(AND('Project Plan'!$H31&lt;=C$3,'Project Plan'!$I31&gt;=C$2),"█","")</f>
        <v/>
      </c>
      <c r="D30" s="37" t="str">
        <f>IF(AND('Project Plan'!$H31&lt;=D$3,'Project Plan'!$I31&gt;=D$2),"█","")</f>
        <v>█</v>
      </c>
      <c r="E30" s="37" t="str">
        <f>IF(AND('Project Plan'!$H31&lt;=E$3,'Project Plan'!$I31&gt;=E$2),"█","")</f>
        <v/>
      </c>
      <c r="F30" s="37" t="str">
        <f>IF(AND('Project Plan'!$H31&lt;=F$3,'Project Plan'!$I31&gt;=F$2),"█","")</f>
        <v/>
      </c>
      <c r="G30" s="37" t="str">
        <f>IF(AND('Project Plan'!$H31&lt;=G$3,'Project Plan'!$I31&gt;=G$2),"█","")</f>
        <v/>
      </c>
      <c r="H30" s="37" t="str">
        <f>IF(AND('Project Plan'!$H31&lt;=H$3,'Project Plan'!$I31&gt;=H$2),"█","")</f>
        <v/>
      </c>
      <c r="I30" s="37" t="str">
        <f>IF(AND('Project Plan'!$H31&lt;=I$3,'Project Plan'!$I31&gt;=I$2),"█","")</f>
        <v/>
      </c>
      <c r="J30" s="37" t="str">
        <f>IF(AND('Project Plan'!$H31&lt;=J$3,'Project Plan'!$I31&gt;=J$2),"█","")</f>
        <v/>
      </c>
      <c r="K30" s="37" t="str">
        <f>IF(AND('Project Plan'!$H31&lt;=K$3,'Project Plan'!$I31&gt;=K$2),"█","")</f>
        <v/>
      </c>
      <c r="L30" s="37" t="str">
        <f>IF(AND('Project Plan'!$H31&lt;=L$3,'Project Plan'!$I31&gt;=L$2),"█","")</f>
        <v/>
      </c>
      <c r="M30" s="37" t="str">
        <f>IF(AND('Project Plan'!$H31&lt;=M$3,'Project Plan'!$I31&gt;=M$2),"█","")</f>
        <v/>
      </c>
      <c r="N30" s="37" t="str">
        <f>IF(AND('Project Plan'!$H31&lt;=N$3,'Project Plan'!$I31&gt;=N$2),"█","")</f>
        <v/>
      </c>
      <c r="O30" s="37" t="str">
        <f>IF(AND('Project Plan'!$H31&lt;=O$3,'Project Plan'!$I31&gt;=O$2),"█","")</f>
        <v/>
      </c>
      <c r="P30" s="37" t="str">
        <f>IF(AND('Project Plan'!$H31&lt;=P$3,'Project Plan'!$I31&gt;=P$2),"█","")</f>
        <v/>
      </c>
    </row>
    <row r="31" spans="1:16">
      <c r="A31" s="36" t="str">
        <f>'Project Plan'!C32</f>
        <v>Report Category Setup</v>
      </c>
      <c r="B31" s="36" t="str">
        <f>'Project Plan'!E32</f>
        <v>In progress</v>
      </c>
      <c r="C31" s="37" t="str">
        <f>IF(AND('Project Plan'!$H32&lt;=C$3,'Project Plan'!$I32&gt;=C$2),"█","")</f>
        <v/>
      </c>
      <c r="D31" s="37" t="str">
        <f>IF(AND('Project Plan'!$H32&lt;=D$3,'Project Plan'!$I32&gt;=D$2),"█","")</f>
        <v>█</v>
      </c>
      <c r="E31" s="37" t="str">
        <f>IF(AND('Project Plan'!$H32&lt;=E$3,'Project Plan'!$I32&gt;=E$2),"█","")</f>
        <v/>
      </c>
      <c r="F31" s="37" t="str">
        <f>IF(AND('Project Plan'!$H32&lt;=F$3,'Project Plan'!$I32&gt;=F$2),"█","")</f>
        <v/>
      </c>
      <c r="G31" s="37" t="str">
        <f>IF(AND('Project Plan'!$H32&lt;=G$3,'Project Plan'!$I32&gt;=G$2),"█","")</f>
        <v/>
      </c>
      <c r="H31" s="37" t="str">
        <f>IF(AND('Project Plan'!$H32&lt;=H$3,'Project Plan'!$I32&gt;=H$2),"█","")</f>
        <v/>
      </c>
      <c r="I31" s="37" t="str">
        <f>IF(AND('Project Plan'!$H32&lt;=I$3,'Project Plan'!$I32&gt;=I$2),"█","")</f>
        <v/>
      </c>
      <c r="J31" s="37" t="str">
        <f>IF(AND('Project Plan'!$H32&lt;=J$3,'Project Plan'!$I32&gt;=J$2),"█","")</f>
        <v/>
      </c>
      <c r="K31" s="37" t="str">
        <f>IF(AND('Project Plan'!$H32&lt;=K$3,'Project Plan'!$I32&gt;=K$2),"█","")</f>
        <v/>
      </c>
      <c r="L31" s="37" t="str">
        <f>IF(AND('Project Plan'!$H32&lt;=L$3,'Project Plan'!$I32&gt;=L$2),"█","")</f>
        <v/>
      </c>
      <c r="M31" s="37" t="str">
        <f>IF(AND('Project Plan'!$H32&lt;=M$3,'Project Plan'!$I32&gt;=M$2),"█","")</f>
        <v/>
      </c>
      <c r="N31" s="37" t="str">
        <f>IF(AND('Project Plan'!$H32&lt;=N$3,'Project Plan'!$I32&gt;=N$2),"█","")</f>
        <v/>
      </c>
      <c r="O31" s="37" t="str">
        <f>IF(AND('Project Plan'!$H32&lt;=O$3,'Project Plan'!$I32&gt;=O$2),"█","")</f>
        <v/>
      </c>
      <c r="P31" s="37" t="str">
        <f>IF(AND('Project Plan'!$H32&lt;=P$3,'Project Plan'!$I32&gt;=P$2),"█","")</f>
        <v/>
      </c>
    </row>
    <row r="32" spans="1:16">
      <c r="A32" s="36" t="str">
        <f>'Project Plan'!C33</f>
        <v>Discount Setup</v>
      </c>
      <c r="B32" s="36" t="str">
        <f>'Project Plan'!E33</f>
        <v>Not started</v>
      </c>
      <c r="C32" s="37" t="str">
        <f>IF(AND('Project Plan'!$H33&lt;=C$3,'Project Plan'!$I33&gt;=C$2),"█","")</f>
        <v/>
      </c>
      <c r="D32" s="37" t="str">
        <f>IF(AND('Project Plan'!$H33&lt;=D$3,'Project Plan'!$I33&gt;=D$2),"█","")</f>
        <v>█</v>
      </c>
      <c r="E32" s="37" t="str">
        <f>IF(AND('Project Plan'!$H33&lt;=E$3,'Project Plan'!$I33&gt;=E$2),"█","")</f>
        <v/>
      </c>
      <c r="F32" s="37" t="str">
        <f>IF(AND('Project Plan'!$H33&lt;=F$3,'Project Plan'!$I33&gt;=F$2),"█","")</f>
        <v/>
      </c>
      <c r="G32" s="37" t="str">
        <f>IF(AND('Project Plan'!$H33&lt;=G$3,'Project Plan'!$I33&gt;=G$2),"█","")</f>
        <v/>
      </c>
      <c r="H32" s="37" t="str">
        <f>IF(AND('Project Plan'!$H33&lt;=H$3,'Project Plan'!$I33&gt;=H$2),"█","")</f>
        <v/>
      </c>
      <c r="I32" s="37" t="str">
        <f>IF(AND('Project Plan'!$H33&lt;=I$3,'Project Plan'!$I33&gt;=I$2),"█","")</f>
        <v/>
      </c>
      <c r="J32" s="37" t="str">
        <f>IF(AND('Project Plan'!$H33&lt;=J$3,'Project Plan'!$I33&gt;=J$2),"█","")</f>
        <v/>
      </c>
      <c r="K32" s="37" t="str">
        <f>IF(AND('Project Plan'!$H33&lt;=K$3,'Project Plan'!$I33&gt;=K$2),"█","")</f>
        <v/>
      </c>
      <c r="L32" s="37" t="str">
        <f>IF(AND('Project Plan'!$H33&lt;=L$3,'Project Plan'!$I33&gt;=L$2),"█","")</f>
        <v/>
      </c>
      <c r="M32" s="37" t="str">
        <f>IF(AND('Project Plan'!$H33&lt;=M$3,'Project Plan'!$I33&gt;=M$2),"█","")</f>
        <v/>
      </c>
      <c r="N32" s="37" t="str">
        <f>IF(AND('Project Plan'!$H33&lt;=N$3,'Project Plan'!$I33&gt;=N$2),"█","")</f>
        <v/>
      </c>
      <c r="O32" s="37" t="str">
        <f>IF(AND('Project Plan'!$H33&lt;=O$3,'Project Plan'!$I33&gt;=O$2),"█","")</f>
        <v/>
      </c>
      <c r="P32" s="37" t="str">
        <f>IF(AND('Project Plan'!$H33&lt;=P$3,'Project Plan'!$I33&gt;=P$2),"█","")</f>
        <v/>
      </c>
    </row>
    <row r="33" spans="1:16">
      <c r="A33" s="36" t="str">
        <f>'Project Plan'!C34</f>
        <v>Customer Setup</v>
      </c>
      <c r="B33" s="36" t="str">
        <f>'Project Plan'!E34</f>
        <v>Not started</v>
      </c>
      <c r="C33" s="37" t="str">
        <f>IF(AND('Project Plan'!$H34&lt;=C$3,'Project Plan'!$I34&gt;=C$2),"█","")</f>
        <v/>
      </c>
      <c r="D33" s="37" t="str">
        <f>IF(AND('Project Plan'!$H34&lt;=D$3,'Project Plan'!$I34&gt;=D$2),"█","")</f>
        <v>█</v>
      </c>
      <c r="E33" s="37" t="str">
        <f>IF(AND('Project Plan'!$H34&lt;=E$3,'Project Plan'!$I34&gt;=E$2),"█","")</f>
        <v/>
      </c>
      <c r="F33" s="37" t="str">
        <f>IF(AND('Project Plan'!$H34&lt;=F$3,'Project Plan'!$I34&gt;=F$2),"█","")</f>
        <v/>
      </c>
      <c r="G33" s="37" t="str">
        <f>IF(AND('Project Plan'!$H34&lt;=G$3,'Project Plan'!$I34&gt;=G$2),"█","")</f>
        <v/>
      </c>
      <c r="H33" s="37" t="str">
        <f>IF(AND('Project Plan'!$H34&lt;=H$3,'Project Plan'!$I34&gt;=H$2),"█","")</f>
        <v/>
      </c>
      <c r="I33" s="37" t="str">
        <f>IF(AND('Project Plan'!$H34&lt;=I$3,'Project Plan'!$I34&gt;=I$2),"█","")</f>
        <v/>
      </c>
      <c r="J33" s="37" t="str">
        <f>IF(AND('Project Plan'!$H34&lt;=J$3,'Project Plan'!$I34&gt;=J$2),"█","")</f>
        <v/>
      </c>
      <c r="K33" s="37" t="str">
        <f>IF(AND('Project Plan'!$H34&lt;=K$3,'Project Plan'!$I34&gt;=K$2),"█","")</f>
        <v/>
      </c>
      <c r="L33" s="37" t="str">
        <f>IF(AND('Project Plan'!$H34&lt;=L$3,'Project Plan'!$I34&gt;=L$2),"█","")</f>
        <v/>
      </c>
      <c r="M33" s="37" t="str">
        <f>IF(AND('Project Plan'!$H34&lt;=M$3,'Project Plan'!$I34&gt;=M$2),"█","")</f>
        <v/>
      </c>
      <c r="N33" s="37" t="str">
        <f>IF(AND('Project Plan'!$H34&lt;=N$3,'Project Plan'!$I34&gt;=N$2),"█","")</f>
        <v/>
      </c>
      <c r="O33" s="37" t="str">
        <f>IF(AND('Project Plan'!$H34&lt;=O$3,'Project Plan'!$I34&gt;=O$2),"█","")</f>
        <v/>
      </c>
      <c r="P33" s="37" t="str">
        <f>IF(AND('Project Plan'!$H34&lt;=P$3,'Project Plan'!$I34&gt;=P$2),"█","")</f>
        <v/>
      </c>
    </row>
    <row r="34" spans="1:16">
      <c r="A34" s="36" t="str">
        <f>'Project Plan'!C35</f>
        <v>Kiosk Setup</v>
      </c>
      <c r="B34" s="36" t="str">
        <f>'Project Plan'!E35</f>
        <v>Not started</v>
      </c>
      <c r="C34" s="37" t="str">
        <f>IF(AND('Project Plan'!$H35&lt;=C$3,'Project Plan'!$I35&gt;=C$2),"█","")</f>
        <v/>
      </c>
      <c r="D34" s="37" t="str">
        <f>IF(AND('Project Plan'!$H35&lt;=D$3,'Project Plan'!$I35&gt;=D$2),"█","")</f>
        <v/>
      </c>
      <c r="E34" s="37" t="str">
        <f>IF(AND('Project Plan'!$H35&lt;=E$3,'Project Plan'!$I35&gt;=E$2),"█","")</f>
        <v>█</v>
      </c>
      <c r="F34" s="37" t="str">
        <f>IF(AND('Project Plan'!$H35&lt;=F$3,'Project Plan'!$I35&gt;=F$2),"█","")</f>
        <v/>
      </c>
      <c r="G34" s="37" t="str">
        <f>IF(AND('Project Plan'!$H35&lt;=G$3,'Project Plan'!$I35&gt;=G$2),"█","")</f>
        <v/>
      </c>
      <c r="H34" s="37" t="str">
        <f>IF(AND('Project Plan'!$H35&lt;=H$3,'Project Plan'!$I35&gt;=H$2),"█","")</f>
        <v/>
      </c>
      <c r="I34" s="37" t="str">
        <f>IF(AND('Project Plan'!$H35&lt;=I$3,'Project Plan'!$I35&gt;=I$2),"█","")</f>
        <v/>
      </c>
      <c r="J34" s="37" t="str">
        <f>IF(AND('Project Plan'!$H35&lt;=J$3,'Project Plan'!$I35&gt;=J$2),"█","")</f>
        <v/>
      </c>
      <c r="K34" s="37" t="str">
        <f>IF(AND('Project Plan'!$H35&lt;=K$3,'Project Plan'!$I35&gt;=K$2),"█","")</f>
        <v/>
      </c>
      <c r="L34" s="37" t="str">
        <f>IF(AND('Project Plan'!$H35&lt;=L$3,'Project Plan'!$I35&gt;=L$2),"█","")</f>
        <v/>
      </c>
      <c r="M34" s="37" t="str">
        <f>IF(AND('Project Plan'!$H35&lt;=M$3,'Project Plan'!$I35&gt;=M$2),"█","")</f>
        <v/>
      </c>
      <c r="N34" s="37" t="str">
        <f>IF(AND('Project Plan'!$H35&lt;=N$3,'Project Plan'!$I35&gt;=N$2),"█","")</f>
        <v/>
      </c>
      <c r="O34" s="37" t="str">
        <f>IF(AND('Project Plan'!$H35&lt;=O$3,'Project Plan'!$I35&gt;=O$2),"█","")</f>
        <v/>
      </c>
      <c r="P34" s="37" t="str">
        <f>IF(AND('Project Plan'!$H35&lt;=P$3,'Project Plan'!$I35&gt;=P$2),"█","")</f>
        <v/>
      </c>
    </row>
    <row r="35" spans="1:16">
      <c r="A35" s="36" t="str">
        <f>'Project Plan'!C36</f>
        <v>KDS Setup</v>
      </c>
      <c r="B35" s="36" t="str">
        <f>'Project Plan'!E36</f>
        <v>In progress</v>
      </c>
      <c r="C35" s="37" t="str">
        <f>IF(AND('Project Plan'!$H36&lt;=C$3,'Project Plan'!$I36&gt;=C$2),"█","")</f>
        <v/>
      </c>
      <c r="D35" s="37" t="str">
        <f>IF(AND('Project Plan'!$H36&lt;=D$3,'Project Plan'!$I36&gt;=D$2),"█","")</f>
        <v/>
      </c>
      <c r="E35" s="37" t="str">
        <f>IF(AND('Project Plan'!$H36&lt;=E$3,'Project Plan'!$I36&gt;=E$2),"█","")</f>
        <v>█</v>
      </c>
      <c r="F35" s="37" t="str">
        <f>IF(AND('Project Plan'!$H36&lt;=F$3,'Project Plan'!$I36&gt;=F$2),"█","")</f>
        <v/>
      </c>
      <c r="G35" s="37" t="str">
        <f>IF(AND('Project Plan'!$H36&lt;=G$3,'Project Plan'!$I36&gt;=G$2),"█","")</f>
        <v/>
      </c>
      <c r="H35" s="37" t="str">
        <f>IF(AND('Project Plan'!$H36&lt;=H$3,'Project Plan'!$I36&gt;=H$2),"█","")</f>
        <v/>
      </c>
      <c r="I35" s="37" t="str">
        <f>IF(AND('Project Plan'!$H36&lt;=I$3,'Project Plan'!$I36&gt;=I$2),"█","")</f>
        <v/>
      </c>
      <c r="J35" s="37" t="str">
        <f>IF(AND('Project Plan'!$H36&lt;=J$3,'Project Plan'!$I36&gt;=J$2),"█","")</f>
        <v/>
      </c>
      <c r="K35" s="37" t="str">
        <f>IF(AND('Project Plan'!$H36&lt;=K$3,'Project Plan'!$I36&gt;=K$2),"█","")</f>
        <v/>
      </c>
      <c r="L35" s="37" t="str">
        <f>IF(AND('Project Plan'!$H36&lt;=L$3,'Project Plan'!$I36&gt;=L$2),"█","")</f>
        <v/>
      </c>
      <c r="M35" s="37" t="str">
        <f>IF(AND('Project Plan'!$H36&lt;=M$3,'Project Plan'!$I36&gt;=M$2),"█","")</f>
        <v/>
      </c>
      <c r="N35" s="37" t="str">
        <f>IF(AND('Project Plan'!$H36&lt;=N$3,'Project Plan'!$I36&gt;=N$2),"█","")</f>
        <v/>
      </c>
      <c r="O35" s="37" t="str">
        <f>IF(AND('Project Plan'!$H36&lt;=O$3,'Project Plan'!$I36&gt;=O$2),"█","")</f>
        <v/>
      </c>
      <c r="P35" s="37" t="str">
        <f>IF(AND('Project Plan'!$H36&lt;=P$3,'Project Plan'!$I36&gt;=P$2),"█","")</f>
        <v/>
      </c>
    </row>
    <row r="36" spans="1:16">
      <c r="A36" s="36" t="str">
        <f>'Project Plan'!C37</f>
        <v>CDS Setup</v>
      </c>
      <c r="B36" s="36" t="str">
        <f>'Project Plan'!E37</f>
        <v>In progress</v>
      </c>
      <c r="C36" s="37" t="str">
        <f>IF(AND('Project Plan'!$H37&lt;=C$3,'Project Plan'!$I37&gt;=C$2),"█","")</f>
        <v/>
      </c>
      <c r="D36" s="37" t="str">
        <f>IF(AND('Project Plan'!$H37&lt;=D$3,'Project Plan'!$I37&gt;=D$2),"█","")</f>
        <v/>
      </c>
      <c r="E36" s="37" t="str">
        <f>IF(AND('Project Plan'!$H37&lt;=E$3,'Project Plan'!$I37&gt;=E$2),"█","")</f>
        <v>█</v>
      </c>
      <c r="F36" s="37" t="str">
        <f>IF(AND('Project Plan'!$H37&lt;=F$3,'Project Plan'!$I37&gt;=F$2),"█","")</f>
        <v/>
      </c>
      <c r="G36" s="37" t="str">
        <f>IF(AND('Project Plan'!$H37&lt;=G$3,'Project Plan'!$I37&gt;=G$2),"█","")</f>
        <v/>
      </c>
      <c r="H36" s="37" t="str">
        <f>IF(AND('Project Plan'!$H37&lt;=H$3,'Project Plan'!$I37&gt;=H$2),"█","")</f>
        <v/>
      </c>
      <c r="I36" s="37" t="str">
        <f>IF(AND('Project Plan'!$H37&lt;=I$3,'Project Plan'!$I37&gt;=I$2),"█","")</f>
        <v/>
      </c>
      <c r="J36" s="37" t="str">
        <f>IF(AND('Project Plan'!$H37&lt;=J$3,'Project Plan'!$I37&gt;=J$2),"█","")</f>
        <v/>
      </c>
      <c r="K36" s="37" t="str">
        <f>IF(AND('Project Plan'!$H37&lt;=K$3,'Project Plan'!$I37&gt;=K$2),"█","")</f>
        <v/>
      </c>
      <c r="L36" s="37" t="str">
        <f>IF(AND('Project Plan'!$H37&lt;=L$3,'Project Plan'!$I37&gt;=L$2),"█","")</f>
        <v/>
      </c>
      <c r="M36" s="37" t="str">
        <f>IF(AND('Project Plan'!$H37&lt;=M$3,'Project Plan'!$I37&gt;=M$2),"█","")</f>
        <v/>
      </c>
      <c r="N36" s="37" t="str">
        <f>IF(AND('Project Plan'!$H37&lt;=N$3,'Project Plan'!$I37&gt;=N$2),"█","")</f>
        <v/>
      </c>
      <c r="O36" s="37" t="str">
        <f>IF(AND('Project Plan'!$H37&lt;=O$3,'Project Plan'!$I37&gt;=O$2),"█","")</f>
        <v/>
      </c>
      <c r="P36" s="37" t="str">
        <f>IF(AND('Project Plan'!$H37&lt;=P$3,'Project Plan'!$I37&gt;=P$2),"█","")</f>
        <v/>
      </c>
    </row>
    <row r="37" spans="1:16">
      <c r="A37" s="36" t="str">
        <f>'Project Plan'!C38</f>
        <v>Reports</v>
      </c>
      <c r="B37" s="36" t="str">
        <f>'Project Plan'!E38</f>
        <v>In progress</v>
      </c>
      <c r="C37" s="37" t="str">
        <f>IF(AND('Project Plan'!$H38&lt;=C$3,'Project Plan'!$I38&gt;=C$2),"█","")</f>
        <v/>
      </c>
      <c r="D37" s="37" t="str">
        <f>IF(AND('Project Plan'!$H38&lt;=D$3,'Project Plan'!$I38&gt;=D$2),"█","")</f>
        <v/>
      </c>
      <c r="E37" s="37" t="str">
        <f>IF(AND('Project Plan'!$H38&lt;=E$3,'Project Plan'!$I38&gt;=E$2),"█","")</f>
        <v>█</v>
      </c>
      <c r="F37" s="37" t="str">
        <f>IF(AND('Project Plan'!$H38&lt;=F$3,'Project Plan'!$I38&gt;=F$2),"█","")</f>
        <v/>
      </c>
      <c r="G37" s="37" t="str">
        <f>IF(AND('Project Plan'!$H38&lt;=G$3,'Project Plan'!$I38&gt;=G$2),"█","")</f>
        <v/>
      </c>
      <c r="H37" s="37" t="str">
        <f>IF(AND('Project Plan'!$H38&lt;=H$3,'Project Plan'!$I38&gt;=H$2),"█","")</f>
        <v/>
      </c>
      <c r="I37" s="37" t="str">
        <f>IF(AND('Project Plan'!$H38&lt;=I$3,'Project Plan'!$I38&gt;=I$2),"█","")</f>
        <v/>
      </c>
      <c r="J37" s="37" t="str">
        <f>IF(AND('Project Plan'!$H38&lt;=J$3,'Project Plan'!$I38&gt;=J$2),"█","")</f>
        <v/>
      </c>
      <c r="K37" s="37" t="str">
        <f>IF(AND('Project Plan'!$H38&lt;=K$3,'Project Plan'!$I38&gt;=K$2),"█","")</f>
        <v/>
      </c>
      <c r="L37" s="37" t="str">
        <f>IF(AND('Project Plan'!$H38&lt;=L$3,'Project Plan'!$I38&gt;=L$2),"█","")</f>
        <v/>
      </c>
      <c r="M37" s="37" t="str">
        <f>IF(AND('Project Plan'!$H38&lt;=M$3,'Project Plan'!$I38&gt;=M$2),"█","")</f>
        <v/>
      </c>
      <c r="N37" s="37" t="str">
        <f>IF(AND('Project Plan'!$H38&lt;=N$3,'Project Plan'!$I38&gt;=N$2),"█","")</f>
        <v/>
      </c>
      <c r="O37" s="37" t="str">
        <f>IF(AND('Project Plan'!$H38&lt;=O$3,'Project Plan'!$I38&gt;=O$2),"█","")</f>
        <v/>
      </c>
      <c r="P37" s="37" t="str">
        <f>IF(AND('Project Plan'!$H38&lt;=P$3,'Project Plan'!$I38&gt;=P$2),"█","")</f>
        <v/>
      </c>
    </row>
    <row r="38" spans="1:16">
      <c r="A38" s="36" t="str">
        <f>'Project Plan'!C39</f>
        <v>ZATCA onboarding (phase 2)</v>
      </c>
      <c r="B38" s="36" t="str">
        <f>'Project Plan'!E39</f>
        <v>Not started</v>
      </c>
      <c r="C38" s="37" t="str">
        <f>IF(AND('Project Plan'!$H39&lt;=C$3,'Project Plan'!$I39&gt;=C$2),"█","")</f>
        <v/>
      </c>
      <c r="D38" s="37" t="str">
        <f>IF(AND('Project Plan'!$H39&lt;=D$3,'Project Plan'!$I39&gt;=D$2),"█","")</f>
        <v/>
      </c>
      <c r="E38" s="37" t="str">
        <f>IF(AND('Project Plan'!$H39&lt;=E$3,'Project Plan'!$I39&gt;=E$2),"█","")</f>
        <v/>
      </c>
      <c r="F38" s="37" t="str">
        <f>IF(AND('Project Plan'!$H39&lt;=F$3,'Project Plan'!$I39&gt;=F$2),"█","")</f>
        <v>█</v>
      </c>
      <c r="G38" s="37" t="str">
        <f>IF(AND('Project Plan'!$H39&lt;=G$3,'Project Plan'!$I39&gt;=G$2),"█","")</f>
        <v/>
      </c>
      <c r="H38" s="37" t="str">
        <f>IF(AND('Project Plan'!$H39&lt;=H$3,'Project Plan'!$I39&gt;=H$2),"█","")</f>
        <v/>
      </c>
      <c r="I38" s="37" t="str">
        <f>IF(AND('Project Plan'!$H39&lt;=I$3,'Project Plan'!$I39&gt;=I$2),"█","")</f>
        <v/>
      </c>
      <c r="J38" s="37" t="str">
        <f>IF(AND('Project Plan'!$H39&lt;=J$3,'Project Plan'!$I39&gt;=J$2),"█","")</f>
        <v/>
      </c>
      <c r="K38" s="37" t="str">
        <f>IF(AND('Project Plan'!$H39&lt;=K$3,'Project Plan'!$I39&gt;=K$2),"█","")</f>
        <v/>
      </c>
      <c r="L38" s="37" t="str">
        <f>IF(AND('Project Plan'!$H39&lt;=L$3,'Project Plan'!$I39&gt;=L$2),"█","")</f>
        <v/>
      </c>
      <c r="M38" s="37" t="str">
        <f>IF(AND('Project Plan'!$H39&lt;=M$3,'Project Plan'!$I39&gt;=M$2),"█","")</f>
        <v/>
      </c>
      <c r="N38" s="37" t="str">
        <f>IF(AND('Project Plan'!$H39&lt;=N$3,'Project Plan'!$I39&gt;=N$2),"█","")</f>
        <v/>
      </c>
      <c r="O38" s="37" t="str">
        <f>IF(AND('Project Plan'!$H39&lt;=O$3,'Project Plan'!$I39&gt;=O$2),"█","")</f>
        <v/>
      </c>
      <c r="P38" s="37" t="str">
        <f>IF(AND('Project Plan'!$H39&lt;=P$3,'Project Plan'!$I39&gt;=P$2),"█","")</f>
        <v/>
      </c>
    </row>
    <row r="39" spans="1:16">
      <c r="A39" s="36" t="str">
        <f>'Project Plan'!C40</f>
        <v>Arabic on receipts</v>
      </c>
      <c r="B39" s="36" t="str">
        <f>'Project Plan'!E40</f>
        <v>Not started</v>
      </c>
      <c r="C39" s="37" t="str">
        <f>IF(AND('Project Plan'!$H40&lt;=C$3,'Project Plan'!$I40&gt;=C$2),"█","")</f>
        <v/>
      </c>
      <c r="D39" s="37" t="str">
        <f>IF(AND('Project Plan'!$H40&lt;=D$3,'Project Plan'!$I40&gt;=D$2),"█","")</f>
        <v/>
      </c>
      <c r="E39" s="37" t="str">
        <f>IF(AND('Project Plan'!$H40&lt;=E$3,'Project Plan'!$I40&gt;=E$2),"█","")</f>
        <v/>
      </c>
      <c r="F39" s="37" t="str">
        <f>IF(AND('Project Plan'!$H40&lt;=F$3,'Project Plan'!$I40&gt;=F$2),"█","")</f>
        <v>█</v>
      </c>
      <c r="G39" s="37" t="str">
        <f>IF(AND('Project Plan'!$H40&lt;=G$3,'Project Plan'!$I40&gt;=G$2),"█","")</f>
        <v/>
      </c>
      <c r="H39" s="37" t="str">
        <f>IF(AND('Project Plan'!$H40&lt;=H$3,'Project Plan'!$I40&gt;=H$2),"█","")</f>
        <v/>
      </c>
      <c r="I39" s="37" t="str">
        <f>IF(AND('Project Plan'!$H40&lt;=I$3,'Project Plan'!$I40&gt;=I$2),"█","")</f>
        <v/>
      </c>
      <c r="J39" s="37" t="str">
        <f>IF(AND('Project Plan'!$H40&lt;=J$3,'Project Plan'!$I40&gt;=J$2),"█","")</f>
        <v/>
      </c>
      <c r="K39" s="37" t="str">
        <f>IF(AND('Project Plan'!$H40&lt;=K$3,'Project Plan'!$I40&gt;=K$2),"█","")</f>
        <v/>
      </c>
      <c r="L39" s="37" t="str">
        <f>IF(AND('Project Plan'!$H40&lt;=L$3,'Project Plan'!$I40&gt;=L$2),"█","")</f>
        <v/>
      </c>
      <c r="M39" s="37" t="str">
        <f>IF(AND('Project Plan'!$H40&lt;=M$3,'Project Plan'!$I40&gt;=M$2),"█","")</f>
        <v/>
      </c>
      <c r="N39" s="37" t="str">
        <f>IF(AND('Project Plan'!$H40&lt;=N$3,'Project Plan'!$I40&gt;=N$2),"█","")</f>
        <v/>
      </c>
      <c r="O39" s="37" t="str">
        <f>IF(AND('Project Plan'!$H40&lt;=O$3,'Project Plan'!$I40&gt;=O$2),"█","")</f>
        <v/>
      </c>
      <c r="P39" s="37" t="str">
        <f>IF(AND('Project Plan'!$H40&lt;=P$3,'Project Plan'!$I40&gt;=P$2),"█","")</f>
        <v/>
      </c>
    </row>
    <row r="40" spans="1:16">
      <c r="A40" s="36" t="str">
        <f>'Project Plan'!C41</f>
        <v>Android build</v>
      </c>
      <c r="B40" s="36" t="str">
        <f>'Project Plan'!E41</f>
        <v>Not started</v>
      </c>
      <c r="C40" s="37" t="str">
        <f>IF(AND('Project Plan'!$H41&lt;=C$3,'Project Plan'!$I41&gt;=C$2),"█","")</f>
        <v/>
      </c>
      <c r="D40" s="37" t="str">
        <f>IF(AND('Project Plan'!$H41&lt;=D$3,'Project Plan'!$I41&gt;=D$2),"█","")</f>
        <v/>
      </c>
      <c r="E40" s="37" t="str">
        <f>IF(AND('Project Plan'!$H41&lt;=E$3,'Project Plan'!$I41&gt;=E$2),"█","")</f>
        <v/>
      </c>
      <c r="F40" s="37" t="str">
        <f>IF(AND('Project Plan'!$H41&lt;=F$3,'Project Plan'!$I41&gt;=F$2),"█","")</f>
        <v>█</v>
      </c>
      <c r="G40" s="37" t="str">
        <f>IF(AND('Project Plan'!$H41&lt;=G$3,'Project Plan'!$I41&gt;=G$2),"█","")</f>
        <v/>
      </c>
      <c r="H40" s="37" t="str">
        <f>IF(AND('Project Plan'!$H41&lt;=H$3,'Project Plan'!$I41&gt;=H$2),"█","")</f>
        <v/>
      </c>
      <c r="I40" s="37" t="str">
        <f>IF(AND('Project Plan'!$H41&lt;=I$3,'Project Plan'!$I41&gt;=I$2),"█","")</f>
        <v/>
      </c>
      <c r="J40" s="37" t="str">
        <f>IF(AND('Project Plan'!$H41&lt;=J$3,'Project Plan'!$I41&gt;=J$2),"█","")</f>
        <v/>
      </c>
      <c r="K40" s="37" t="str">
        <f>IF(AND('Project Plan'!$H41&lt;=K$3,'Project Plan'!$I41&gt;=K$2),"█","")</f>
        <v/>
      </c>
      <c r="L40" s="37" t="str">
        <f>IF(AND('Project Plan'!$H41&lt;=L$3,'Project Plan'!$I41&gt;=L$2),"█","")</f>
        <v/>
      </c>
      <c r="M40" s="37" t="str">
        <f>IF(AND('Project Plan'!$H41&lt;=M$3,'Project Plan'!$I41&gt;=M$2),"█","")</f>
        <v/>
      </c>
      <c r="N40" s="37" t="str">
        <f>IF(AND('Project Plan'!$H41&lt;=N$3,'Project Plan'!$I41&gt;=N$2),"█","")</f>
        <v/>
      </c>
      <c r="O40" s="37" t="str">
        <f>IF(AND('Project Plan'!$H41&lt;=O$3,'Project Plan'!$I41&gt;=O$2),"█","")</f>
        <v/>
      </c>
      <c r="P40" s="37" t="str">
        <f>IF(AND('Project Plan'!$H41&lt;=P$3,'Project Plan'!$I41&gt;=P$2),"█","")</f>
        <v/>
      </c>
    </row>
    <row r="41" spans="1:16">
      <c r="A41" s="36" t="str">
        <f>'Project Plan'!C42</f>
        <v>Single-instance guard</v>
      </c>
      <c r="B41" s="36" t="str">
        <f>'Project Plan'!E42</f>
        <v>Not started</v>
      </c>
      <c r="C41" s="37" t="str">
        <f>IF(AND('Project Plan'!$H42&lt;=C$3,'Project Plan'!$I42&gt;=C$2),"█","")</f>
        <v/>
      </c>
      <c r="D41" s="37" t="str">
        <f>IF(AND('Project Plan'!$H42&lt;=D$3,'Project Plan'!$I42&gt;=D$2),"█","")</f>
        <v/>
      </c>
      <c r="E41" s="37" t="str">
        <f>IF(AND('Project Plan'!$H42&lt;=E$3,'Project Plan'!$I42&gt;=E$2),"█","")</f>
        <v/>
      </c>
      <c r="F41" s="37" t="str">
        <f>IF(AND('Project Plan'!$H42&lt;=F$3,'Project Plan'!$I42&gt;=F$2),"█","")</f>
        <v>█</v>
      </c>
      <c r="G41" s="37" t="str">
        <f>IF(AND('Project Plan'!$H42&lt;=G$3,'Project Plan'!$I42&gt;=G$2),"█","")</f>
        <v/>
      </c>
      <c r="H41" s="37" t="str">
        <f>IF(AND('Project Plan'!$H42&lt;=H$3,'Project Plan'!$I42&gt;=H$2),"█","")</f>
        <v/>
      </c>
      <c r="I41" s="37" t="str">
        <f>IF(AND('Project Plan'!$H42&lt;=I$3,'Project Plan'!$I42&gt;=I$2),"█","")</f>
        <v/>
      </c>
      <c r="J41" s="37" t="str">
        <f>IF(AND('Project Plan'!$H42&lt;=J$3,'Project Plan'!$I42&gt;=J$2),"█","")</f>
        <v/>
      </c>
      <c r="K41" s="37" t="str">
        <f>IF(AND('Project Plan'!$H42&lt;=K$3,'Project Plan'!$I42&gt;=K$2),"█","")</f>
        <v/>
      </c>
      <c r="L41" s="37" t="str">
        <f>IF(AND('Project Plan'!$H42&lt;=L$3,'Project Plan'!$I42&gt;=L$2),"█","")</f>
        <v/>
      </c>
      <c r="M41" s="37" t="str">
        <f>IF(AND('Project Plan'!$H42&lt;=M$3,'Project Plan'!$I42&gt;=M$2),"█","")</f>
        <v/>
      </c>
      <c r="N41" s="37" t="str">
        <f>IF(AND('Project Plan'!$H42&lt;=N$3,'Project Plan'!$I42&gt;=N$2),"█","")</f>
        <v/>
      </c>
      <c r="O41" s="37" t="str">
        <f>IF(AND('Project Plan'!$H42&lt;=O$3,'Project Plan'!$I42&gt;=O$2),"█","")</f>
        <v/>
      </c>
      <c r="P41" s="37" t="str">
        <f>IF(AND('Project Plan'!$H42&lt;=P$3,'Project Plan'!$I42&gt;=P$2),"█","")</f>
        <v/>
      </c>
    </row>
    <row r="42" spans="1:16">
      <c r="A42" s="36" t="str">
        <f>'Project Plan'!C43</f>
        <v>Zero-priced products review</v>
      </c>
      <c r="B42" s="36" t="str">
        <f>'Project Plan'!E43</f>
        <v>Not started</v>
      </c>
      <c r="C42" s="37" t="str">
        <f>IF(AND('Project Plan'!$H43&lt;=C$3,'Project Plan'!$I43&gt;=C$2),"█","")</f>
        <v/>
      </c>
      <c r="D42" s="37" t="str">
        <f>IF(AND('Project Plan'!$H43&lt;=D$3,'Project Plan'!$I43&gt;=D$2),"█","")</f>
        <v/>
      </c>
      <c r="E42" s="37" t="str">
        <f>IF(AND('Project Plan'!$H43&lt;=E$3,'Project Plan'!$I43&gt;=E$2),"█","")</f>
        <v/>
      </c>
      <c r="F42" s="37" t="str">
        <f>IF(AND('Project Plan'!$H43&lt;=F$3,'Project Plan'!$I43&gt;=F$2),"█","")</f>
        <v>█</v>
      </c>
      <c r="G42" s="37" t="str">
        <f>IF(AND('Project Plan'!$H43&lt;=G$3,'Project Plan'!$I43&gt;=G$2),"█","")</f>
        <v/>
      </c>
      <c r="H42" s="37" t="str">
        <f>IF(AND('Project Plan'!$H43&lt;=H$3,'Project Plan'!$I43&gt;=H$2),"█","")</f>
        <v/>
      </c>
      <c r="I42" s="37" t="str">
        <f>IF(AND('Project Plan'!$H43&lt;=I$3,'Project Plan'!$I43&gt;=I$2),"█","")</f>
        <v/>
      </c>
      <c r="J42" s="37" t="str">
        <f>IF(AND('Project Plan'!$H43&lt;=J$3,'Project Plan'!$I43&gt;=J$2),"█","")</f>
        <v/>
      </c>
      <c r="K42" s="37" t="str">
        <f>IF(AND('Project Plan'!$H43&lt;=K$3,'Project Plan'!$I43&gt;=K$2),"█","")</f>
        <v/>
      </c>
      <c r="L42" s="37" t="str">
        <f>IF(AND('Project Plan'!$H43&lt;=L$3,'Project Plan'!$I43&gt;=L$2),"█","")</f>
        <v/>
      </c>
      <c r="M42" s="37" t="str">
        <f>IF(AND('Project Plan'!$H43&lt;=M$3,'Project Plan'!$I43&gt;=M$2),"█","")</f>
        <v/>
      </c>
      <c r="N42" s="37" t="str">
        <f>IF(AND('Project Plan'!$H43&lt;=N$3,'Project Plan'!$I43&gt;=N$2),"█","")</f>
        <v/>
      </c>
      <c r="O42" s="37" t="str">
        <f>IF(AND('Project Plan'!$H43&lt;=O$3,'Project Plan'!$I43&gt;=O$2),"█","")</f>
        <v/>
      </c>
      <c r="P42" s="37" t="str">
        <f>IF(AND('Project Plan'!$H43&lt;=P$3,'Project Plan'!$I43&gt;=P$2),"█","")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/>
  <cols>
    <col min="1" max="1" width="38" customWidth="1"/>
    <col min="2" max="2" width="95" customWidth="1"/>
  </cols>
  <sheetData>
    <row r="1" spans="1:2" ht="20">
      <c r="A1" s="1" t="s">
        <v>179</v>
      </c>
    </row>
    <row r="3" spans="1:2" ht="42" customHeight="1">
      <c r="A3" s="38" t="s">
        <v>180</v>
      </c>
      <c r="B3" s="39" t="s">
        <v>181</v>
      </c>
    </row>
    <row r="4" spans="1:2" ht="42" customHeight="1">
      <c r="A4" s="38" t="s">
        <v>182</v>
      </c>
      <c r="B4" s="39" t="s">
        <v>183</v>
      </c>
    </row>
    <row r="5" spans="1:2" ht="42" customHeight="1">
      <c r="A5" s="38" t="s">
        <v>184</v>
      </c>
      <c r="B5" s="39" t="s">
        <v>185</v>
      </c>
    </row>
    <row r="6" spans="1:2" ht="42" customHeight="1">
      <c r="A6" s="38" t="s">
        <v>186</v>
      </c>
      <c r="B6" s="39" t="s">
        <v>187</v>
      </c>
    </row>
    <row r="7" spans="1:2" ht="42" customHeight="1">
      <c r="A7" s="38" t="s">
        <v>188</v>
      </c>
      <c r="B7" s="39" t="s">
        <v>189</v>
      </c>
    </row>
    <row r="8" spans="1:2" ht="42" customHeight="1">
      <c r="A8" s="38" t="s">
        <v>190</v>
      </c>
      <c r="B8" s="39" t="s">
        <v>191</v>
      </c>
    </row>
    <row r="9" spans="1:2" ht="42" customHeight="1">
      <c r="A9" s="38" t="s">
        <v>192</v>
      </c>
      <c r="B9" s="39" t="s">
        <v>193</v>
      </c>
    </row>
    <row r="10" spans="1:2" ht="42" customHeight="1">
      <c r="A10" s="38" t="s">
        <v>194</v>
      </c>
      <c r="B10" s="39" t="s">
        <v>195</v>
      </c>
    </row>
    <row r="11" spans="1:2" ht="42" customHeight="1">
      <c r="A11" s="38" t="s">
        <v>196</v>
      </c>
      <c r="B11" s="39" t="s">
        <v>197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61E0253A-0899-4D74-A3C7-456A408A17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</vt:lpstr>
      <vt:lpstr>Summary</vt:lpstr>
      <vt:lpstr>Timeline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Iftikhar Ahmed</cp:lastModifiedBy>
  <dcterms:created xsi:type="dcterms:W3CDTF">2026-08-12T07:16:28Z</dcterms:created>
  <dcterms:modified xsi:type="dcterms:W3CDTF">2026-08-12T09:20:14Z</dcterms:modified>
</cp:coreProperties>
</file>